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78a66a86b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01ecd6a4b0c4c6f"/>
    <x:sheet xmlns:r="http://schemas.openxmlformats.org/officeDocument/2006/relationships" name="Manifesto" sheetId="2" r:id="R4c4ccc9801504862"/>
    <x:sheet xmlns:r="http://schemas.openxmlformats.org/officeDocument/2006/relationships" name="Codigos finais" sheetId="3" r:id="R8031e23be8e3436d"/>
    <x:sheet xmlns:r="http://schemas.openxmlformats.org/officeDocument/2006/relationships" name="Fluxo" sheetId="4" r:id="Ra53e2d86731a4ee1"/>
    <x:sheet xmlns:r="http://schemas.openxmlformats.org/officeDocument/2006/relationships" name="Checklist pacote" sheetId="5" r:id="Refcb5541b4584302"/>
    <x:sheet xmlns:r="http://schemas.openxmlformats.org/officeDocument/2006/relationships" name="Legenda" sheetId="6" r:id="Rf9a7362c7983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5F7FA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e9c2981a542fd" /><Relationship Type="http://schemas.openxmlformats.org/officeDocument/2006/relationships/theme" Target="/xl/theme/theme1.xml" Id="Rf44813c7ae004a5e" /><Relationship Type="http://schemas.openxmlformats.org/officeDocument/2006/relationships/sharedStrings" Target="/xl/sharedStrings.xml" Id="R9e5376e42fd44126" /><Relationship Type="http://schemas.openxmlformats.org/officeDocument/2006/relationships/worksheet" Target="/xl/worksheets/sheet1.xml" Id="R801ecd6a4b0c4c6f" /><Relationship Type="http://schemas.openxmlformats.org/officeDocument/2006/relationships/worksheet" Target="/xl/worksheets/sheet2.xml" Id="R4c4ccc9801504862" /><Relationship Type="http://schemas.openxmlformats.org/officeDocument/2006/relationships/worksheet" Target="/xl/worksheets/sheet3.xml" Id="R8031e23be8e3436d" /><Relationship Type="http://schemas.openxmlformats.org/officeDocument/2006/relationships/worksheet" Target="/xl/worksheets/sheet4.xml" Id="Ra53e2d86731a4ee1" /><Relationship Type="http://schemas.openxmlformats.org/officeDocument/2006/relationships/worksheet" Target="/xl/worksheets/sheet5.xml" Id="Refcb5541b4584302" /><Relationship Type="http://schemas.openxmlformats.org/officeDocument/2006/relationships/worksheet" Target="/xl/worksheets/sheet6.xml" Id="Rf9a7362c79834f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b8e91548ae43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Taxas finais de conformidade visual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Taxa entre avaliáveis</c:v>
          </c:tx>
          <c:cat>
            <c:strRef>
              <c:f>'Dashboard'!$A$11:$A$17</c:f>
              <c:strCache>
                <c:ptCount val="0"/>
              </c:strCache>
            </c:strRef>
          </c:cat>
          <c:val>
            <c:numRef>
              <c:f>'Dashboard'!$B$11:$B$17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b8e91548ae438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nifestoCV" displayName="ManifestoCV" ref="A1:T31" headerRowCount="1" totalsRowCount="0" totalsRowShown="0">
  <x:tableColumns count="20">
    <x:tableColumn id="1" name="ID"/>
    <x:tableColumn id="2" name="Dimensão"/>
    <x:tableColumn id="3" name="Etapa"/>
    <x:tableColumn id="4" name="Arquivo / artefato"/>
    <x:tableColumn id="5" name="Tipo"/>
    <x:tableColumn id="6" name="Versão"/>
    <x:tableColumn id="7" name="Status metodológico"/>
    <x:tableColumn id="8" name="Papel / objetivo"/>
    <x:tableColumn id="9" name="Entrada principal"/>
    <x:tableColumn id="10" name="Saída principal"/>
    <x:tableColumn id="11" name="Escopo"/>
    <x:tableColumn id="12" name="Usa F?"/>
    <x:tableColumn id="13" name="F participa da extração?"/>
    <x:tableColumn id="14" name="Validação / holdout"/>
    <x:tableColumn id="15" name="SHA-256"/>
    <x:tableColumn id="16" name="Dependências principais"/>
    <x:tableColumn id="17" name="Caminho Windows"/>
    <x:tableColumn id="18" name="Resultado / observações"/>
    <x:tableColumn id="19" name="Reprodutibilidade"/>
    <x:tableColumn id="20" name="Fonte documen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digosFinaisCV" displayName="CodigosFinaisCV" ref="A1:K23" headerRowCount="1" totalsRowCount="0" totalsRowShown="0">
  <x:tableColumns count="11">
    <x:tableColumn id="1" name="ID"/>
    <x:tableColumn id="2" name="Dimensão"/>
    <x:tableColumn id="3" name="Arquivo / código"/>
    <x:tableColumn id="4" name="Versão"/>
    <x:tableColumn id="5" name="Status"/>
    <x:tableColumn id="6" name="Função resumida"/>
    <x:tableColumn id="7" name="Dependências"/>
    <x:tableColumn id="8" name="Caminho Windows"/>
    <x:tableColumn id="9" name="Comando CMD sugerido"/>
    <x:tableColumn id="10" name="SHA-256"/>
    <x:tableColumn id="11" name="Observação de reprodu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luxoCV" displayName="FluxoCV" ref="A1:H11" headerRowCount="1" totalsRowCount="0" totalsRowShown="0">
  <x:tableColumns count="8">
    <x:tableColumn id="1" name="Ordem"/>
    <x:tableColumn id="2" name="Fase"/>
    <x:tableColumn id="3" name="Componente principal"/>
    <x:tableColumn id="4" name="Entrada"/>
    <x:tableColumn id="5" name="Processamento"/>
    <x:tableColumn id="6" name="Saída para a próxima fase"/>
    <x:tableColumn id="7" name="Consulta F?"/>
    <x:tableColumn id="8" name="Resultado final associ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ecklistCV" displayName="ChecklistCV" ref="A1:G25" headerRowCount="1" totalsRowCount="0" totalsRowShown="0">
  <x:tableColumns count="7">
    <x:tableColumn id="1" name="Prioridade"/>
    <x:tableColumn id="2" name="Item a preservar"/>
    <x:tableColumn id="3" name="Categoria"/>
    <x:tableColumn id="4" name="Situação atual"/>
    <x:tableColumn id="5" name="Ação antes do depósito"/>
    <x:tableColumn id="6" name="Criticidade"/>
    <x:tableColumn id="7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07e71d5bdea44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ca60b9ee7c41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01c1ee1d674c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77ed96f36744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c19081bddb4c8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8" customHeight="1">
      <x:c r="A1" s="5" t="str">
        <x:v>Manifesto de Reprodutibilidade — Conformidade Visual</x:v>
      </x:c>
      <x:c r="B1" s="5"/>
      <x:c r="C1" s="5"/>
      <x:c r="D1" s="5"/>
      <x:c r="E1" s="5"/>
      <x:c r="F1" s="5"/>
      <x:c r="G1" s="5"/>
      <x:c r="H1" s="5"/>
    </x:row>
    <x:row r="3">
      <x:c r="A3" s="11" t="str">
        <x:v>Indicador</x:v>
      </x:c>
      <x:c r="B3" s="11" t="str">
        <x:v>Valor</x:v>
      </x:c>
    </x:row>
    <x:row r="4">
      <x:c r="A4" s="15" t="str">
        <x:v>Itens no manifesto</x:v>
      </x:c>
      <x:c r="B4" s="18" t="n">
        <x:f>COUNTA(Manifesto!A2:A31)</x:f>
        <x:v>30</x:v>
      </x:c>
    </x:row>
    <x:row r="5">
      <x:c r="A5" s="15" t="str">
        <x:v>Códigos/configurações</x:v>
      </x:c>
      <x:c r="B5" s="18" t="n">
        <x:f>COUNTIF(Manifesto!E2:E31,"Código")+COUNTIF(Manifesto!E2:E31,"Código/execução")+COUNTIF(Manifesto!E2:E31,"Configuração + execução")+COUNTIF(Manifesto!E2:E31,"Configuração normativa")</x:f>
        <x:v>22</x:v>
      </x:c>
    </x:row>
    <x:row r="6">
      <x:c r="A6" s="15" t="str">
        <x:v>Reprodutibilidade OK</x:v>
      </x:c>
      <x:c r="B6" s="18" t="n">
        <x:f>COUNTIF(Manifesto!S2:S31,"OK")</x:f>
        <x:v>25</x:v>
      </x:c>
    </x:row>
    <x:row r="7">
      <x:c r="A7" s="15" t="str">
        <x:v>Itens a confirmar/parciais</x:v>
      </x:c>
      <x:c r="B7" s="18" t="n">
        <x:f>COUNTIF(Manifesto!S2:S31,"PARCIAL")+COUNTIF(Manifesto!S2:S31,"CONFIRMAR")</x:f>
        <x:v>5</x:v>
      </x:c>
    </x:row>
    <x:row r="10">
      <x:c r="A10" s="11" t="str">
        <x:v>Dimensão final</x:v>
      </x:c>
      <x:c r="B10" s="11" t="str">
        <x:v>Taxa entre avaliáveis</x:v>
      </x:c>
    </x:row>
    <x:row r="11">
      <x:c r="A11" s="18" t="str">
        <x:v>Presença da marca</x:v>
      </x:c>
      <x:c r="B11" s="19" t="n">
        <x:v>0.991979</x:v>
      </x:c>
    </x:row>
    <x:row r="12">
      <x:c r="A12" s="18" t="str">
        <x:v>Presença dos eixos</x:v>
      </x:c>
      <x:c r="B12" s="19" t="n">
        <x:v>0.993571</x:v>
      </x:c>
    </x:row>
    <x:row r="13">
      <x:c r="A13" s="18" t="str">
        <x:v>Conformidade de cor</x:v>
      </x:c>
      <x:c r="B13" s="19" t="n">
        <x:v>0.9069</x:v>
      </x:c>
    </x:row>
    <x:row r="14">
      <x:c r="A14" s="18" t="str">
        <x:v>Presença dos tick labels</x:v>
      </x:c>
      <x:c r="B14" s="19" t="n">
        <x:v>0.999</x:v>
      </x:c>
    </x:row>
    <x:row r="15">
      <x:c r="A15" s="18" t="str">
        <x:v>Técnica gráfica</x:v>
      </x:c>
      <x:c r="B15" s="19" t="n">
        <x:v>0.991928</x:v>
      </x:c>
    </x:row>
    <x:row r="16">
      <x:c r="A16" s="18" t="str">
        <x:v>Conteúdo dos tick labels</x:v>
      </x:c>
      <x:c r="B16" s="19" t="n">
        <x:v>0.8885</x:v>
      </x:c>
    </x:row>
    <x:row r="17">
      <x:c r="A17" s="18" t="str">
        <x:v>Conformidade global estrita</x:v>
      </x:c>
      <x:c r="B17" s="19" t="n">
        <x:v>0.868549</x:v>
      </x:c>
    </x:row>
    <x:row r="20">
      <x:c r="A20" s="11" t="str">
        <x:v>Classe de item</x:v>
      </x:c>
      <x:c r="B20" s="11" t="str">
        <x:v>Quantidade</x:v>
      </x:c>
    </x:row>
    <x:row r="21">
      <x:c r="A21" s="18" t="str">
        <x:v>CONGELADO</x:v>
      </x:c>
      <x:c r="B21" s="18" t="n">
        <x:f>COUNTIF(Manifesto!G2:G31,"CONGELADO")</x:f>
        <x:v>7</x:v>
      </x:c>
    </x:row>
    <x:row r="22">
      <x:c r="A22" s="18" t="str">
        <x:v>PRODUÇÃO FINAL</x:v>
      </x:c>
      <x:c r="B22" s="18" t="n">
        <x:f>COUNTIF(Manifesto!G2:G31,"PRODUÇÃO FINAL")+COUNTIF(Manifesto!G2:G31,"PRODUÇÃO FINAL B-A")+COUNTIF(Manifesto!G2:G31,"PRODUÇÃO FINAL + ADJUDICAÇÃO")+COUNTIF(Manifesto!G2:G31,"FINAL / PRODUÇÃO")+COUNTIF(Manifesto!G2:G31,"PRODUÇÃO / INTEGRAÇÃO CROMÁTICA")</x:f>
        <x:v>8</x:v>
      </x:c>
    </x:row>
    <x:row r="23">
      <x:c r="A23" s="18" t="str">
        <x:v>HOLDOUT</x:v>
      </x:c>
      <x:c r="B23" s="18" t="n">
        <x:f>COUNTIF(Manifesto!G2:G31,"HOLDOUT INDEPENDENTE")+COUNTIF(Manifesto!G2:G31,"HOLDOUT")</x:f>
        <x:v>4</x:v>
      </x:c>
    </x:row>
    <x:row r="24">
      <x:c r="A24" s="18" t="str">
        <x:v>RESULTADO FINAL</x:v>
      </x:c>
      <x:c r="B24" s="18" t="n">
        <x:f>COUNTIF(Manifesto!G2:G31,"RESULTADO FINAL B-B")+COUNTIF(Manifesto!G2:G31,"RESULTADO FINAL")+COUNTIF(Manifesto!G2:G31,"MASTER FINAL")</x:f>
        <x:v>4</x:v>
      </x:c>
    </x:row>
    <x:row r="25">
      <x:c r="A25" s="18" t="str">
        <x:v>AUXILIAR / INTERMEDIÁRIO</x:v>
      </x:c>
      <x:c r="B25" s="18" t="n">
        <x:f>COUNTIF(Manifesto!G2:G31,"AUXILIAR / DIAGNÓSTICO")+COUNTIF(Manifesto!G2:G31,"INTERMEDIÁRIO")+COUNTIF(Manifesto!G2:G31,"AUDITORIA")</x:f>
        <x:v>3</x:v>
      </x:c>
    </x:row>
    <x:row r="26">
      <x:c r="A26" s="18" t="str">
        <x:v>OBRIGATÓRIO / FONTE</x:v>
      </x:c>
      <x:c r="B26" s="18" t="n">
        <x:f>COUNTIF(Manifesto!G2:G31,"OBRIGATÓRIO PARA REPRODUÇÃO")+COUNTIF(Manifesto!G2:G31,"CONGELADA / FONTE DE VERDADE")</x:f>
        <x:v>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07e71d5bdea443e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22" hidden="0" customWidth="1"/>
    <x:col min="4" max="4" width="42" hidden="0" customWidth="1"/>
    <x:col min="5" max="5" width="18" hidden="0" customWidth="1"/>
    <x:col min="6" max="6" width="12" hidden="0" customWidth="1"/>
    <x:col min="7" max="7" width="25" hidden="0" customWidth="1"/>
    <x:col min="8" max="8" width="48" hidden="0" customWidth="1"/>
    <x:col min="9" max="9" width="38" hidden="0" customWidth="1"/>
    <x:col min="10" max="10" width="42" hidden="0" customWidth="1"/>
    <x:col min="11" max="11" width="24" hidden="0" customWidth="1"/>
    <x:col min="12" max="12" width="12" hidden="0" customWidth="1"/>
    <x:col min="13" max="13" width="20" hidden="0" customWidth="1"/>
    <x:col min="14" max="14" width="42" hidden="0" customWidth="1"/>
    <x:col min="15" max="15" width="42" hidden="0" customWidth="1"/>
    <x:col min="16" max="16" width="42" hidden="0" customWidth="1"/>
    <x:col min="17" max="17" width="48" hidden="0" customWidth="1"/>
    <x:col min="18" max="18" width="48" hidden="0" customWidth="1"/>
    <x:col min="19" max="19" width="18" hidden="0" customWidth="1"/>
    <x:col min="20" max="20" width="42" hidden="0" customWidth="1"/>
  </x:cols>
  <x:sheetData>
    <x:row r="1" ht="38" customHeight="1">
      <x:c r="A1" s="29" t="str">
        <x:v>ID</x:v>
      </x:c>
      <x:c r="B1" s="29" t="str">
        <x:v>Dimensão</x:v>
      </x:c>
      <x:c r="C1" s="29" t="str">
        <x:v>Etapa</x:v>
      </x:c>
      <x:c r="D1" s="29" t="str">
        <x:v>Arquivo / artefato</x:v>
      </x:c>
      <x:c r="E1" s="29" t="str">
        <x:v>Tipo</x:v>
      </x:c>
      <x:c r="F1" s="29" t="str">
        <x:v>Versão</x:v>
      </x:c>
      <x:c r="G1" s="29" t="str">
        <x:v>Status metodológico</x:v>
      </x:c>
      <x:c r="H1" s="29" t="str">
        <x:v>Papel / objetivo</x:v>
      </x:c>
      <x:c r="I1" s="29" t="str">
        <x:v>Entrada principal</x:v>
      </x:c>
      <x:c r="J1" s="29" t="str">
        <x:v>Saída principal</x:v>
      </x:c>
      <x:c r="K1" s="29" t="str">
        <x:v>Escopo</x:v>
      </x:c>
      <x:c r="L1" s="29" t="str">
        <x:v>Usa F?</x:v>
      </x:c>
      <x:c r="M1" s="29" t="str">
        <x:v>F participa da extração?</x:v>
      </x:c>
      <x:c r="N1" s="29" t="str">
        <x:v>Validação / holdout</x:v>
      </x:c>
      <x:c r="O1" s="29" t="str">
        <x:v>SHA-256</x:v>
      </x:c>
      <x:c r="P1" s="29" t="str">
        <x:v>Dependências principais</x:v>
      </x:c>
      <x:c r="Q1" s="29" t="str">
        <x:v>Caminho Windows</x:v>
      </x:c>
      <x:c r="R1" s="29" t="str">
        <x:v>Resultado / observações</x:v>
      </x:c>
      <x:c r="S1" s="29" t="str">
        <x:v>Reprodutibilidade</x:v>
      </x:c>
      <x:c r="T1" s="29" t="str">
        <x:v>Fonte documental</x:v>
      </x:c>
    </x:row>
    <x:row r="2">
      <x:c r="A2" s="30" t="str">
        <x:v>CV-01</x:v>
      </x:c>
      <x:c r="B2" s="30" t="str">
        <x:v>Área de plotagem</x:v>
      </x:c>
      <x:c r="C2" s="30" t="str">
        <x:v>Diagnóstico auxiliar</x:v>
      </x:c>
      <x:c r="D2" s="30" t="str">
        <x:v>visual_features_v4_plot_area_v6.py</x:v>
      </x:c>
      <x:c r="E2" s="30" t="str">
        <x:v>Código</x:v>
      </x:c>
      <x:c r="F2" s="30" t="str">
        <x:v>V6</x:v>
      </x:c>
      <x:c r="G2" s="30" t="str">
        <x:v>AUXILIAR / DIAGNÓSTICO</x:v>
      </x:c>
      <x:c r="H2" s="30" t="str">
        <x:v>Estimar a região útil do gráfico para apoiar outros detectores.</x:v>
      </x:c>
      <x:c r="I2" s="30" t="str">
        <x:v>Imagens PNG da raiz.</x:v>
      </x:c>
      <x:c r="J2" s="30" t="str">
        <x:v>visual_features_v4_plot_area.csv; status OK/INCOMPLETE/LOW_CONFIDENCE.</x:v>
      </x:c>
      <x:c r="K2" s="30" t="str">
        <x:v>3.120 imagens</x:v>
      </x:c>
      <x:c r="L2" s="30" t="str">
        <x:v>Não</x:v>
      </x:c>
      <x:c r="M2" s="30" t="str">
        <x:v>Não</x:v>
      </x:c>
      <x:c r="N2" s="30" t="str">
        <x:v>Não é dimensão normativa; não converte o diagnóstico em conformidade.</x:v>
      </x:c>
      <x:c r="O2" s="30" t="str">
        <x:v>Não localizado nos resumos preservados.</x:v>
      </x:c>
      <x:c r="P2" s="30" t="str">
        <x:v>numpy; Pillow/OpenCV; imagens da raiz</x:v>
      </x:c>
      <x:c r="Q2" s="30" t="str">
        <x:v>C:\Users\Labvis\Downloads\imagens3120\implementações\testes\visual_features_v4_plot_area_v6.py</x:v>
      </x:c>
      <x:c r="R2" s="30" t="str">
        <x:v>3110 OK; 9 INCOMPLETE; 1 LOW_CONFIDENCE.</x:v>
      </x:c>
      <x:c r="S2" s="30" t="str">
        <x:v>OK</x:v>
      </x:c>
      <x:c r="T2" s="30" t="str">
        <x:v>SCRIPTS_TECNICA_PRODUCAO_V2_RESUMO.txt</x:v>
      </x:c>
    </x:row>
    <x:row r="3">
      <x:c r="A3" s="30" t="str">
        <x:v>CV-02</x:v>
      </x:c>
      <x:c r="B3" s="30" t="str">
        <x:v>Presença dos eixos</x:v>
      </x:c>
      <x:c r="C3" s="30" t="str">
        <x:v>Detector</x:v>
      </x:c>
      <x:c r="D3" s="30" t="str">
        <x:v>axis_conformity_calibration_v3.py</x:v>
      </x:c>
      <x:c r="E3" s="30" t="str">
        <x:v>Código</x:v>
      </x:c>
      <x:c r="F3" s="30" t="str">
        <x:v>V3</x:v>
      </x:c>
      <x:c r="G3" s="30" t="str">
        <x:v>CONGELADO</x:v>
      </x:c>
      <x:c r="H3" s="30" t="str">
        <x:v>Detectar geometricamente os eixos X e Y, sem usar cor normativa como critério final.</x:v>
      </x:c>
      <x:c r="I3" s="30" t="str">
        <x:v>Imagem PNG.</x:v>
      </x:c>
      <x:c r="J3" s="30" t="str">
        <x:v>Evidências/caixas dos eixos X e Y.</x:v>
      </x:c>
      <x:c r="K3" s="30" t="str">
        <x:v>Detector reutilizado na produção V5.1</x:v>
      </x:c>
      <x:c r="L3" s="30" t="str">
        <x:v>Não</x:v>
      </x:c>
      <x:c r="M3" s="30" t="str">
        <x:v>Não</x:v>
      </x:c>
      <x:c r="N3" s="30" t="str">
        <x:v>Holdout independente V4 com 120 imagens.</x:v>
      </x:c>
      <x:c r="O3" s="30" t="str">
        <x:v>1582555adf23d8ed2a6b23e89eaefdcd317d0e11a2f7d361fbd69c6258866bfe</x:v>
      </x:c>
      <x:c r="P3" s="30" t="str">
        <x:v>visual_features_v4_plot_area_v6.py</x:v>
      </x:c>
      <x:c r="Q3" s="30" t="str">
        <x:v>C:\Users\Labvis\Downloads\imagens3120\axis_conformity_calibration_v3.py</x:v>
      </x:c>
      <x:c r="R3" s="30" t="str">
        <x:v>Base do processamento final de presença dos eixos.</x:v>
      </x:c>
      <x:c r="S3" s="30" t="str">
        <x:v>OK</x:v>
      </x:c>
      <x:c r="T3" s="30" t="str">
        <x:v>axis_presence_summary_v5_1.txt; axis_presence_holdout_summary_v4.txt</x:v>
      </x:c>
    </x:row>
    <x:row r="4">
      <x:c r="A4" s="30" t="str">
        <x:v>CV-03</x:v>
      </x:c>
      <x:c r="B4" s="30" t="str">
        <x:v>Presença dos eixos</x:v>
      </x:c>
      <x:c r="C4" s="30" t="str">
        <x:v>Produção</x:v>
      </x:c>
      <x:c r="D4" s="30" t="str">
        <x:v>Wrapper de produção V5.1 (nome do .py não localizado)</x:v>
      </x:c>
      <x:c r="E4" s="30" t="str">
        <x:v>Código/execução</x:v>
      </x:c>
      <x:c r="F4" s="30" t="str">
        <x:v>V5.1</x:v>
      </x:c>
      <x:c r="G4" s="30" t="str">
        <x:v>PRODUÇÃO FINAL</x:v>
      </x:c>
      <x:c r="H4" s="30" t="str">
        <x:v>Aplicar o detector V3 congelado às 3.120 imagens e consolidar o estado de presença dos eixos.</x:v>
      </x:c>
      <x:c r="I4" s="30" t="str">
        <x:v>3.120 PNG + detector V3 + crosswalk V3.</x:v>
      </x:c>
      <x:c r="J4" s="30" t="str">
        <x:v>axis_presence_images_v5_1.csv; review_overlays.</x:v>
      </x:c>
      <x:c r="K4" s="30" t="str">
        <x:v>3.120 imagens / 312 unidades</x:v>
      </x:c>
      <x:c r="L4" s="30" t="str">
        <x:v>Não</x:v>
      </x:c>
      <x:c r="M4" s="30" t="str">
        <x:v>Não</x:v>
      </x:c>
      <x:c r="N4" s="30" t="str">
        <x:v>Detector validado anteriormente no holdout V4.</x:v>
      </x:c>
      <x:c r="O4" s="30" t="str">
        <x:v>Detector V3: 1582555adf23d8ed2a6b23e89eaefdcd317d0e11a2f7d361fbd69c6258866bfe</x:v>
      </x:c>
      <x:c r="P4" s="30" t="str">
        <x:v>axis_conformity_calibration_v3.py; experimental_unit_crosswalk_v3.csv</x:v>
      </x:c>
      <x:c r="Q4" s="30" t="str">
        <x:v>C:\Users\Labvis\Downloads\imagens3120\imagens\_axis_presence_full_v5_1</x:v>
      </x:c>
      <x:c r="R4" s="30" t="str">
        <x:v>3091 BOTH_PRESENT; 20 X_ONLY; 9 UNEVALUABLE.</x:v>
      </x:c>
      <x:c r="S4" s="30" t="str">
        <x:v>PARCIAL</x:v>
      </x:c>
      <x:c r="T4" s="30" t="str">
        <x:v>axis_presence_summary_v5_1.txt</x:v>
      </x:c>
    </x:row>
    <x:row r="5">
      <x:c r="A5" s="30" t="str">
        <x:v>CV-04</x:v>
      </x:c>
      <x:c r="B5" s="30" t="str">
        <x:v>Presença dos tick labels</x:v>
      </x:c>
      <x:c r="C5" s="30" t="str">
        <x:v>Detector</x:v>
      </x:c>
      <x:c r="D5" s="30" t="str">
        <x:v>ticklabel_presence_calibration_v4.py</x:v>
      </x:c>
      <x:c r="E5" s="30" t="str">
        <x:v>Código</x:v>
      </x:c>
      <x:c r="F5" s="30" t="str">
        <x:v>V4</x:v>
      </x:c>
      <x:c r="G5" s="30" t="str">
        <x:v>CONGELADO</x:v>
      </x:c>
      <x:c r="H5" s="30" t="str">
        <x:v>Detectar presença de camadas textuais correspondentes aos tick labels X/Y sem interpretar seu conteúdo.</x:v>
      </x:c>
      <x:c r="I5" s="30" t="str">
        <x:v>Imagem PNG + localização dos eixos.</x:v>
      </x:c>
      <x:c r="J5" s="30" t="str">
        <x:v>Presença X/Y e diagnósticos SEG/DISCRETE/CONGESTED.</x:v>
      </x:c>
      <x:c r="K5" s="30" t="str">
        <x:v>Detector usado no processamento integral V5</x:v>
      </x:c>
      <x:c r="L5" s="30" t="str">
        <x:v>Não</x:v>
      </x:c>
      <x:c r="M5" s="30" t="str">
        <x:v>Não</x:v>
      </x:c>
      <x:c r="N5" s="30" t="str">
        <x:v>Holdout independente congelado: 120 imagens, sem sobreposição.</x:v>
      </x:c>
      <x:c r="O5" s="30" t="str">
        <x:v>d15c325290c7596632f9f4c62d907e7a78d0a794862b690c4c4691ed87ea86b2</x:v>
      </x:c>
      <x:c r="P5" s="30" t="str">
        <x:v>axis_conformity_calibration_v3.py; visual_features_v4_plot_area_v6.py</x:v>
      </x:c>
      <x:c r="Q5" s="30" t="str">
        <x:v>C:\Users\Labvis\Downloads\imagens3120\ticklabel_presence_calibration_v4.py</x:v>
      </x:c>
      <x:c r="R5" s="30" t="str">
        <x:v>Calibração V4 foi realizada sem OCR e sem F.</x:v>
      </x:c>
      <x:c r="S5" s="30" t="str">
        <x:v>OK</x:v>
      </x:c>
      <x:c r="T5" s="30" t="str">
        <x:v>ticklabel_calibration_summary_v4.txt; ticklabel_holdout_summary_v4_frozen.txt</x:v>
      </x:c>
    </x:row>
    <x:row r="6">
      <x:c r="A6" s="30" t="str">
        <x:v>CV-05</x:v>
      </x:c>
      <x:c r="B6" s="30" t="str">
        <x:v>Presença dos tick labels</x:v>
      </x:c>
      <x:c r="C6" s="30" t="str">
        <x:v>Produção + auditoria</x:v>
      </x:c>
      <x:c r="D6" s="30" t="str">
        <x:v>Processamento integral V5 (nome do wrapper .py não localizado)</x:v>
      </x:c>
      <x:c r="E6" s="30" t="str">
        <x:v>Código/execução</x:v>
      </x:c>
      <x:c r="F6" s="30" t="str">
        <x:v>V5</x:v>
      </x:c>
      <x:c r="G6" s="30" t="str">
        <x:v>PRODUÇÃO FINAL + ADJUDICAÇÃO</x:v>
      </x:c>
      <x:c r="H6" s="30" t="str">
        <x:v>Aplicar/consolidar o detector congelado em 3.120 imagens e encaminhar todos os casos não-BOTH_PRESENT à revisão visual.</x:v>
      </x:c>
      <x:c r="I6" s="30" t="str">
        <x:v>3.120 PNG + detector V4.</x:v>
      </x:c>
      <x:c r="J6" s="30" t="str">
        <x:v>ticklabel_presence_images_v5.csv; priority_review_v5.csv; adjudicação manual final.</x:v>
      </x:c>
      <x:c r="K6" s="30" t="str">
        <x:v>3.120 imagens / 312 unidades</x:v>
      </x:c>
      <x:c r="L6" s="30" t="str">
        <x:v>Não</x:v>
      </x:c>
      <x:c r="M6" s="30" t="str">
        <x:v>Não</x:v>
      </x:c>
      <x:c r="N6" s="30" t="str">
        <x:v>V4 validado em holdout independente antes da produção.</x:v>
      </x:c>
      <x:c r="O6" s="30" t="str">
        <x:v>Detector V4: d15c325290c7596632f9f4c62d907e7a78d0a794862b690c4c4691ed87ea86b2</x:v>
      </x:c>
      <x:c r="P6" s="30" t="str">
        <x:v>ticklabel_presence_calibration_v4.py</x:v>
      </x:c>
      <x:c r="Q6" s="30" t="str">
        <x:v>C:\Users\Labvis\Downloads\imagens3120\imagens\_ticklabel_presence_full_v5</x:v>
      </x:c>
      <x:c r="R6" s="30" t="str">
        <x:v>Automático: 3084 BOTH; 36 revisão. Final: 3115 C; 3 NC; 2 U.</x:v>
      </x:c>
      <x:c r="S6" s="30" t="str">
        <x:v>PARCIAL</x:v>
      </x:c>
      <x:c r="T6" s="30" t="str">
        <x:v>ticklabel_presence_summary_v5.txt</x:v>
      </x:c>
    </x:row>
    <x:row r="7">
      <x:c r="A7" s="30" t="str">
        <x:v>CV-06</x:v>
      </x:c>
      <x:c r="B7" s="30" t="str">
        <x:v>Presença da marca principal</x:v>
      </x:c>
      <x:c r="C7" s="30" t="str">
        <x:v>Detector estrutural</x:v>
      </x:c>
      <x:c r="D7" s="30" t="str">
        <x:v>mark_presence_validation_v3.py</x:v>
      </x:c>
      <x:c r="E7" s="30" t="str">
        <x:v>Código</x:v>
      </x:c>
      <x:c r="F7" s="30" t="str">
        <x:v>V3</x:v>
      </x:c>
      <x:c r="G7" s="30" t="str">
        <x:v>CONGELADO</x:v>
      </x:c>
      <x:c r="H7" s="30" t="str">
        <x:v>Detectar barras, linhas ou pontos por geometria, contraste, alinhamento, espessura/forma e extensão espacial.</x:v>
      </x:c>
      <x:c r="I7" s="30" t="str">
        <x:v>Imagem PNG; perfil seleciona o detector B/L/S.</x:v>
      </x:c>
      <x:c r="J7" s="30" t="str">
        <x:v>presence_status e descritores estruturais.</x:v>
      </x:c>
      <x:c r="K7" s="30" t="str">
        <x:v>Detector usado em presença de marca e classificação de técnica.</x:v>
      </x:c>
      <x:c r="L7" s="30" t="str">
        <x:v>Não</x:v>
      </x:c>
      <x:c r="M7" s="30" t="str">
        <x:v>Não</x:v>
      </x:c>
      <x:c r="N7" s="30" t="str">
        <x:v>Calibração e inspeção visual; depois congelado.</x:v>
      </x:c>
      <x:c r="O7" s="30" t="str">
        <x:v>8f33f4daa7e8f1cc8feba58e5ea5f80bc75639334f9e64cf6339408152bc78a2</x:v>
      </x:c>
      <x:c r="P7" s="30" t="str">
        <x:v>Pillow; OpenCV; numpy; artefatos de canvas/cor apenas para seleção de calibração</x:v>
      </x:c>
      <x:c r="Q7" s="30" t="str">
        <x:v>C:\Users\Labvis\Downloads\imagens3120\mark_presence_validation_v3.py</x:v>
      </x:c>
      <x:c r="R7" s="30" t="str">
        <x:v>Não usa paleta normativa de F nem número esperado de séries para forçar decisão.</x:v>
      </x:c>
      <x:c r="S7" s="30" t="str">
        <x:v>OK</x:v>
      </x:c>
      <x:c r="T7" s="30" t="str">
        <x:v>mark_presence_summary_v5.txt; CODIGO_TECNICA_PARA_REVISAO_V1.txt</x:v>
      </x:c>
    </x:row>
    <x:row r="8">
      <x:c r="A8" s="30" t="str">
        <x:v>CV-07</x:v>
      </x:c>
      <x:c r="B8" s="30" t="str">
        <x:v>Presença da marca principal</x:v>
      </x:c>
      <x:c r="C8" s="30" t="str">
        <x:v>Produção</x:v>
      </x:c>
      <x:c r="D8" s="30" t="str">
        <x:v>Processamento final V5 (nome do wrapper .py não localizado)</x:v>
      </x:c>
      <x:c r="E8" s="30" t="str">
        <x:v>Código/execução</x:v>
      </x:c>
      <x:c r="F8" s="30" t="str">
        <x:v>V5</x:v>
      </x:c>
      <x:c r="G8" s="30" t="str">
        <x:v>PRODUÇÃO FINAL</x:v>
      </x:c>
      <x:c r="H8" s="30" t="str">
        <x:v>Aplicar o detector V3 congelado às 3.120 imagens.</x:v>
      </x:c>
      <x:c r="I8" s="30" t="str">
        <x:v>3.120 PNG + detector V3.</x:v>
      </x:c>
      <x:c r="J8" s="30" t="str">
        <x:v>mark_presence_images_v5.csv; agregação por unidade.</x:v>
      </x:c>
      <x:c r="K8" s="30" t="str">
        <x:v>3.120 imagens / 312 unidades</x:v>
      </x:c>
      <x:c r="L8" s="30" t="str">
        <x:v>Não</x:v>
      </x:c>
      <x:c r="M8" s="30" t="str">
        <x:v>Não</x:v>
      </x:c>
      <x:c r="N8" s="30" t="str">
        <x:v>Detector congelado antes da produção.</x:v>
      </x:c>
      <x:c r="O8" s="30" t="str">
        <x:v>Detector: 8f33f4daa7e8f1cc8feba58e5ea5f80bc75639334f9e64cf6339408152bc78a2</x:v>
      </x:c>
      <x:c r="P8" s="30" t="str">
        <x:v>mark_presence_validation_v3.py; crosswalk experimental</x:v>
      </x:c>
      <x:c r="Q8" s="30" t="str">
        <x:v>C:\Users\Labvis\Downloads\imagens3120\imagens\_mark_presence_full_v5</x:v>
      </x:c>
      <x:c r="R8" s="30" t="str">
        <x:v>Automático original: 3072 MARK_PRESENT; 48 MARK_ABSENT. Esses 48 foram posteriormente adjudicados.</x:v>
      </x:c>
      <x:c r="S8" s="30" t="str">
        <x:v>PARCIAL</x:v>
      </x:c>
      <x:c r="T8" s="30" t="str">
        <x:v>mark_presence_summary_v5.txt</x:v>
      </x:c>
    </x:row>
    <x:row r="9">
      <x:c r="A9" s="30" t="str">
        <x:v>CV-08</x:v>
      </x:c>
      <x:c r="B9" s="30" t="str">
        <x:v>Presença da marca / técnica</x:v>
      </x:c>
      <x:c r="C9" s="30" t="str">
        <x:v>Auditoria auxiliar</x:v>
      </x:c>
      <x:c r="D9" s="30" t="str">
        <x:v>audit_absent_chart_types_v1.py</x:v>
      </x:c>
      <x:c r="E9" s="30" t="str">
        <x:v>Código</x:v>
      </x:c>
      <x:c r="F9" s="30" t="str">
        <x:v>V1</x:v>
      </x:c>
      <x:c r="G9" s="30" t="str">
        <x:v>AUDITORIA</x:v>
      </x:c>
      <x:c r="H9" s="30" t="str">
        <x:v>Nos casos MARK_ABSENT, gerar candidatos de estrutura alternativa e pranchas para inspeção humana.</x:v>
      </x:c>
      <x:c r="I9" s="30" t="str">
        <x:v>mark_presence_images_v5.csv + PNG + detector V3.</x:v>
      </x:c>
      <x:c r="J9" s="30" t="str">
        <x:v>absent_chart_type_candidates_v1.csv; contact sheets.</x:v>
      </x:c>
      <x:c r="K9" s="30" t="str">
        <x:v>48 casos automáticos MARK_ABSENT</x:v>
      </x:c>
      <x:c r="L9" s="30" t="str">
        <x:v>Não</x:v>
      </x:c>
      <x:c r="M9" s="30" t="str">
        <x:v>Não</x:v>
      </x:c>
      <x:c r="N9" s="30" t="str">
        <x:v>Não substitui a adjudicação visual.</x:v>
      </x:c>
      <x:c r="O9" s="30" t="str">
        <x:v>Não localizado.</x:v>
      </x:c>
      <x:c r="P9" s="30" t="str">
        <x:v>mark_presence_validation_v3.py; mark_presence_images_v5.csv</x:v>
      </x:c>
      <x:c r="Q9" s="30" t="str">
        <x:v>C:\Users\Labvis\Downloads\imagens3120\audit_absent_chart_types_v1.py</x:v>
      </x:c>
      <x:c r="R9" s="30" t="str">
        <x:v>Classes sugeridas: BAR, LINE, SCATTER, EMPTY_NO_DATA, OTHER, UNCERTAIN.</x:v>
      </x:c>
      <x:c r="S9" s="30" t="str">
        <x:v>OK</x:v>
      </x:c>
      <x:c r="T9" s="30" t="str">
        <x:v>CODIGO_TECNICA_PARA_REVISAO_V1.txt</x:v>
      </x:c>
    </x:row>
    <x:row r="10">
      <x:c r="A10" s="30" t="str">
        <x:v>CV-09</x:v>
      </x:c>
      <x:c r="B10" s="30" t="str">
        <x:v>Conformidade de cor</x:v>
      </x:c>
      <x:c r="C10" s="30" t="str">
        <x:v>Orquestração</x:v>
      </x:c>
      <x:c r="D10" s="30" t="str">
        <x:v>color_conformity_v4.py</x:v>
      </x:c>
      <x:c r="E10" s="30" t="str">
        <x:v>Código</x:v>
      </x:c>
      <x:c r="F10" s="30" t="str">
        <x:v>V4</x:v>
      </x:c>
      <x:c r="G10" s="30" t="str">
        <x:v>PRODUÇÃO / INTEGRAÇÃO CROMÁTICA</x:v>
      </x:c>
      <x:c r="H10" s="30" t="str">
        <x:v>Consolidar extrações específicas por técnica, parear cores observadas e produzir métricas cromáticas por imagem.</x:v>
      </x:c>
      <x:c r="I10" s="30" t="str">
        <x:v>PNG + especificação cromática + módulos por técnica.</x:v>
      </x:c>
      <x:c r="J10" s="30" t="str">
        <x:v>color_conformity_images/pairs/scatter_points e métricas Dmean/Dmax.</x:v>
      </x:c>
      <x:c r="K10" s="30" t="str">
        <x:v>3.120 imagens no processamento final</x:v>
      </x:c>
      <x:c r="L10" s="30" t="str">
        <x:v>Sim</x:v>
      </x:c>
      <x:c r="M10" s="30" t="str">
        <x:v>Não na descoberta; sim no pareamento/decisão</x:v>
      </x:c>
      <x:c r="N10" s="30" t="str">
        <x:v>Módulos específicos tiveram calibração/holdout antes da produção.</x:v>
      </x:c>
      <x:c r="O10" s="30" t="str">
        <x:v>Não localizado.</x:v>
      </x:c>
      <x:c r="P10" s="30" t="str">
        <x:v>validate_color_bars_core_v5.py; módulo L-Cor; validate_color_scatter_v7_markercore_final.py</x:v>
      </x:c>
      <x:c r="Q10" s="30" t="str">
        <x:v>C:\Users\Labvis\Downloads\imagens3120\implementações\color_conformity_v4.py</x:v>
      </x:c>
      <x:c r="R10" s="30" t="str">
        <x:v>A fonte de verdade cromática é F; extração não deve inferir alvo a partir da imagem de referência.</x:v>
      </x:c>
      <x:c r="S10" s="30" t="str">
        <x:v>OK</x:v>
      </x:c>
      <x:c r="T10" s="30" t="str">
        <x:v>SCRIPTS_TECNICA_PRODUCAO_V2_RESUMO.txt</x:v>
      </x:c>
    </x:row>
    <x:row r="11">
      <x:c r="A11" s="30" t="str">
        <x:v>CV-10</x:v>
      </x:c>
      <x:c r="B11" s="30" t="str">
        <x:v>Conformidade de cor</x:v>
      </x:c>
      <x:c r="C11" s="30" t="str">
        <x:v>Módulo barras</x:v>
      </x:c>
      <x:c r="D11" s="30" t="str">
        <x:v>validate_color_bars_core_v5.py</x:v>
      </x:c>
      <x:c r="E11" s="30" t="str">
        <x:v>Código</x:v>
      </x:c>
      <x:c r="F11" s="30" t="str">
        <x:v>V5</x:v>
      </x:c>
      <x:c r="G11" s="30" t="str">
        <x:v>FINAL / PRODUÇÃO</x:v>
      </x:c>
      <x:c r="H11" s="30" t="str">
        <x:v>Extrair cor no núcleo das barras, reduzindo bordas, antialiasing e artefatos.</x:v>
      </x:c>
      <x:c r="I11" s="30" t="str">
        <x:v>Imagens BI/BC.</x:v>
      </x:c>
      <x:c r="J11" s="30" t="str">
        <x:v>Cores-base distintas e métricas de suporte/Dmax.</x:v>
      </x:c>
      <x:c r="K11" s="30" t="str">
        <x:v>Perfis BI/BC</x:v>
      </x:c>
      <x:c r="L11" s="30" t="str">
        <x:v>Sim</x:v>
      </x:c>
      <x:c r="M11" s="30" t="str">
        <x:v>Não na extração da cor; sim na comparação</x:v>
      </x:c>
      <x:c r="N11" s="30" t="str">
        <x:v>Evolução a partir de B-Cor V4; núcleo adotado na versão de produção.</x:v>
      </x:c>
      <x:c r="O11" s="30" t="str">
        <x:v>Não localizado.</x:v>
      </x:c>
      <x:c r="P11" s="30" t="str">
        <x:v>OpenCV/numpy; orquestrador de cor</x:v>
      </x:c>
      <x:c r="Q11" s="30" t="str">
        <x:v>C:\Users\Labvis\Downloads\imagens3120\implementações\validate_color_bars_core_v5.py</x:v>
      </x:c>
      <x:c r="R11" s="30" t="str">
        <x:v>Amostragem do centro/núcleo da barra é parte da estratégia congelada.</x:v>
      </x:c>
      <x:c r="S11" s="30" t="str">
        <x:v>OK</x:v>
      </x:c>
      <x:c r="T11" s="30" t="str">
        <x:v>SCRIPTS_TECNICA_PRODUCAO_V2_RESUMO.txt; bar_validation_summary_v4.txt</x:v>
      </x:c>
    </x:row>
    <x:row r="12">
      <x:c r="A12" s="30" t="str">
        <x:v>CV-11</x:v>
      </x:c>
      <x:c r="B12" s="30" t="str">
        <x:v>Conformidade de cor</x:v>
      </x:c>
      <x:c r="C12" s="30" t="str">
        <x:v>Módulo linhas</x:v>
      </x:c>
      <x:c r="D12" s="30" t="str">
        <x:v>L-Cor V4 (arquivo físico final a confirmar; inventário preserva validate_color_lines_v3.py)</x:v>
      </x:c>
      <x:c r="E12" s="30" t="str">
        <x:v>Código</x:v>
      </x:c>
      <x:c r="F12" s="30" t="str">
        <x:v>V4</x:v>
      </x:c>
      <x:c r="G12" s="30" t="str">
        <x:v>FINAL METODOLÓGICO / NOME A CONFIRMAR</x:v>
      </x:c>
      <x:c r="H12" s="30" t="str">
        <x:v>Detectar famílias cromáticas de linhas com suporte espacial em X e separar famílias derivadas de sobreposição.</x:v>
      </x:c>
      <x:c r="I12" s="30" t="str">
        <x:v>Imagens LI/LC.</x:v>
      </x:c>
      <x:c r="J12" s="30" t="str">
        <x:v>Famílias BASE/OVERLAP_DERIVED; Dmean/Dmax; suporte do core.</x:v>
      </x:c>
      <x:c r="K12" s="30" t="str">
        <x:v>Perfis LI/LC</x:v>
      </x:c>
      <x:c r="L12" s="30" t="str">
        <x:v>Sim</x:v>
      </x:c>
      <x:c r="M12" s="30" t="str">
        <x:v>Não na descoberta/classificação de overlap; sim na comparação</x:v>
      </x:c>
      <x:c r="N12" s="30" t="str">
        <x:v>Holdout V5 com 80 imagens, parâmetros V4 congelados e amostra de calibração excluída.</x:v>
      </x:c>
      <x:c r="O12" s="30" t="str">
        <x:v>Não localizado.</x:v>
      </x:c>
      <x:c r="P12" s="30" t="str">
        <x:v>orquestrador de cor; extração de famílias cromáticas</x:v>
      </x:c>
      <x:c r="Q12" s="30" t="str">
        <x:v>C:\Users\Labvis\Downloads\imagens3120\implementações\color_conformity_package\validate_color_lines_v3.py</x:v>
      </x:c>
      <x:c r="R12" s="30" t="str">
        <x:v>Inconsistência de nomenclatura: documentação metodológica = L-Cor V4; inventário físico mostra validate_color_lines_v3.py. Confirmar antes do depósito.</x:v>
      </x:c>
      <x:c r="S12" s="30" t="str">
        <x:v>CONFIRMAR</x:v>
      </x:c>
      <x:c r="T12" s="30" t="str">
        <x:v>line_validation_summary_v4.txt; line_holdout_summary_v5.txt; SCRIPTS_TECNICA_PRODUCAO_V2_RESUMO.txt</x:v>
      </x:c>
    </x:row>
    <x:row r="13">
      <x:c r="A13" s="30" t="str">
        <x:v>CV-12</x:v>
      </x:c>
      <x:c r="B13" s="30" t="str">
        <x:v>Conformidade de cor</x:v>
      </x:c>
      <x:c r="C13" s="30" t="str">
        <x:v>Módulo dispersão</x:v>
      </x:c>
      <x:c r="D13" s="30" t="str">
        <x:v>validate_color_scatter_v7_markercore_final.py</x:v>
      </x:c>
      <x:c r="E13" s="30" t="str">
        <x:v>Código</x:v>
      </x:c>
      <x:c r="F13" s="30" t="str">
        <x:v>V7</x:v>
      </x:c>
      <x:c r="G13" s="30" t="str">
        <x:v>FINAL / PRODUÇÃO</x:v>
      </x:c>
      <x:c r="H13" s="30" t="str">
        <x:v>Detectar marcadores primeiro e estimar a cor no núcleo dos pontos, reduzindo grade, antialiasing e bordas.</x:v>
      </x:c>
      <x:c r="I13" s="30" t="str">
        <x:v>Imagens SI/SC.</x:v>
      </x:c>
      <x:c r="J13" s="30" t="str">
        <x:v>Cores-base dos marcadores; variação interna; métricas cromáticas.</x:v>
      </x:c>
      <x:c r="K13" s="30" t="str">
        <x:v>Perfis SI/SC</x:v>
      </x:c>
      <x:c r="L13" s="30" t="str">
        <x:v>Sim</x:v>
      </x:c>
      <x:c r="M13" s="30" t="str">
        <x:v>Não na detecção do marcador; sim na comparação</x:v>
      </x:c>
      <x:c r="N13" s="30" t="str">
        <x:v>Validação independente por holdout V8.</x:v>
      </x:c>
      <x:c r="O13" s="30" t="str">
        <x:v>Não localizado.</x:v>
      </x:c>
      <x:c r="P13" s="30" t="str">
        <x:v>OpenCV/numpy; orquestrador de cor</x:v>
      </x:c>
      <x:c r="Q13" s="30" t="str">
        <x:v>C:\Users\Labvis\Downloads\imagens3120\implementações\validate_color_scatter_v7_markercore_final.py</x:v>
      </x:c>
      <x:c r="R13" s="30" t="str">
        <x:v>Estratégia marker-first + marker-core.</x:v>
      </x:c>
      <x:c r="S13" s="30" t="str">
        <x:v>OK</x:v>
      </x:c>
      <x:c r="T13" s="30" t="str">
        <x:v>SCRIPTS_TECNICA_PRODUCAO_V2_RESUMO.txt</x:v>
      </x:c>
    </x:row>
    <x:row r="14">
      <x:c r="A14" s="30" t="str">
        <x:v>CV-13</x:v>
      </x:c>
      <x:c r="B14" s="30" t="str">
        <x:v>Conformidade de cor</x:v>
      </x:c>
      <x:c r="C14" s="30" t="str">
        <x:v>Holdout dispersão</x:v>
      </x:c>
      <x:c r="D14" s="30" t="str">
        <x:v>validate_color_scatter_holdout_v8.py</x:v>
      </x:c>
      <x:c r="E14" s="30" t="str">
        <x:v>Código</x:v>
      </x:c>
      <x:c r="F14" s="30" t="str">
        <x:v>V8</x:v>
      </x:c>
      <x:c r="G14" s="30" t="str">
        <x:v>HOLDOUT</x:v>
      </x:c>
      <x:c r="H14" s="30" t="str">
        <x:v>Validar independentemente o procedimento cromático de dispersão sem recalibrar a versão de produção.</x:v>
      </x:c>
      <x:c r="I14" s="30" t="str">
        <x:v>Amostra independente SI/SC.</x:v>
      </x:c>
      <x:c r="J14" s="30" t="str">
        <x:v>Relatório/CSV de holdout.</x:v>
      </x:c>
      <x:c r="K14" s="30" t="str">
        <x:v>Holdout específico scatter</x:v>
      </x:c>
      <x:c r="L14" s="30" t="str">
        <x:v>Não na extração</x:v>
      </x:c>
      <x:c r="M14" s="30" t="str">
        <x:v>Não</x:v>
      </x:c>
      <x:c r="N14" s="30" t="str">
        <x:v>Validação independente.</x:v>
      </x:c>
      <x:c r="O14" s="30" t="str">
        <x:v>Não localizado.</x:v>
      </x:c>
      <x:c r="P14" s="30" t="str">
        <x:v>validate_color_scatter_v7_markercore_final.py</x:v>
      </x:c>
      <x:c r="Q14" s="30" t="str">
        <x:v>C:\Users\Labvis\Downloads\imagens3120\implementações\validate_color_scatter_holdout_v8.py</x:v>
      </x:c>
      <x:c r="R14" s="30" t="str">
        <x:v>Serve como evidência de congelamento/validação, não como processamento das 3.120.</x:v>
      </x:c>
      <x:c r="S14" s="30" t="str">
        <x:v>OK</x:v>
      </x:c>
      <x:c r="T14" s="30" t="str">
        <x:v>SCRIPTS_TECNICA_PRODUCAO_V2_RESUMO.txt</x:v>
      </x:c>
    </x:row>
    <x:row r="15">
      <x:c r="A15" s="30" t="str">
        <x:v>CV-14</x:v>
      </x:c>
      <x:c r="B15" s="30" t="str">
        <x:v>Conformidade de cor</x:v>
      </x:c>
      <x:c r="C15" s="30" t="str">
        <x:v>Pós-processamento final</x:v>
      </x:c>
      <x:c r="D15" s="30" t="str">
        <x:v>color_postprocess_config_used.json + color_conformity_final_v1</x:v>
      </x:c>
      <x:c r="E15" s="30" t="str">
        <x:v>Configuração + execução</x:v>
      </x:c>
      <x:c r="F15" s="30" t="str">
        <x:v>V1 final</x:v>
      </x:c>
      <x:c r="G15" s="30" t="str">
        <x:v>FINAL</x:v>
      </x:c>
      <x:c r="H15" s="30" t="str">
        <x:v>Aplicar a regra operacional ΔE00≤2 e consolidar MATCH, COLOR_DEVIATION, MISSING_COLOR, EXTRA_COLOR, INTERNAL_VARIATION e NO_MARK.</x:v>
      </x:c>
      <x:c r="I15" s="30" t="str">
        <x:v>Saídas cromáticas contínuas + configuração JSON.</x:v>
      </x:c>
      <x:c r="J15" s="30" t="str">
        <x:v>color_conformity_final_images.csv; extras; units; profiles; summary.</x:v>
      </x:c>
      <x:c r="K15" s="30" t="str">
        <x:v>3.120 imagens; 3.105 avaliáveis cromaticamente</x:v>
      </x:c>
      <x:c r="L15" s="30" t="str">
        <x:v>Sim</x:v>
      </x:c>
      <x:c r="M15" s="30" t="str">
        <x:v>Sim, na etapa B-B cromática</x:v>
      </x:c>
      <x:c r="N15" s="30" t="str">
        <x:v>Parâmetros/limiar registrados em JSON.</x:v>
      </x:c>
      <x:c r="O15" s="30" t="str">
        <x:v>N/A (configuração)</x:v>
      </x:c>
      <x:c r="P15" s="30" t="str">
        <x:v>Saídas de color_conformity_v4 e módulos específicos</x:v>
      </x:c>
      <x:c r="Q15" s="30" t="str">
        <x:v>C:\Users\Labvis\Downloads\imagens3120\imagens\_color_conformity_final_v1</x:v>
      </x:c>
      <x:c r="R15" s="30" t="str">
        <x:v>2816 MATCH; taxa 2816/3105=90,69% entre avaliáveis.</x:v>
      </x:c>
      <x:c r="S15" s="30" t="str">
        <x:v>OK</x:v>
      </x:c>
      <x:c r="T15" s="30" t="str">
        <x:v>color_postprocess_config_used.json; color_conformity_final_summary.txt</x:v>
      </x:c>
    </x:row>
    <x:row r="16">
      <x:c r="A16" s="30" t="str">
        <x:v>CV-15</x:v>
      </x:c>
      <x:c r="B16" s="30" t="str">
        <x:v>Conteúdo dos tick labels</x:v>
      </x:c>
      <x:c r="C16" s="30" t="str">
        <x:v>Extrator B-A</x:v>
      </x:c>
      <x:c r="D16" s="30" t="str">
        <x:v>ticklabel_content_extraction_calibration_ba_v7.py</x:v>
      </x:c>
      <x:c r="E16" s="30" t="str">
        <x:v>Código</x:v>
      </x:c>
      <x:c r="F16" s="30" t="str">
        <x:v>V7</x:v>
      </x:c>
      <x:c r="G16" s="30" t="str">
        <x:v>CONGELADO</x:v>
      </x:c>
      <x:c r="H16" s="30" t="str">
        <x:v>Extrair o conteúdo visível dos tick labels numéricos e temporais, preservando incerteza e sem consultar F.</x:v>
      </x:c>
      <x:c r="I16" s="30" t="str">
        <x:v>Imagem PNG + caixas do detector de presença V4.</x:v>
      </x:c>
      <x:c r="J16" s="30" t="str">
        <x:v>Resultados por imagem/eixo/label; candidatos numéricos; diagnósticos de escala.</x:v>
      </x:c>
      <x:c r="K16" s="30" t="str">
        <x:v>Núcleo da produção B-A</x:v>
      </x:c>
      <x:c r="L16" s="30" t="str">
        <x:v>Não</x:v>
      </x:c>
      <x:c r="M16" s="30" t="str">
        <x:v>Não</x:v>
      </x:c>
      <x:c r="N16" s="30" t="str">
        <x:v>Validado em holdout independente V7.</x:v>
      </x:c>
      <x:c r="O16" s="30" t="str">
        <x:v>21423b59ce40eb351693f00b6a197936d936fe53131467f47c1031da864fd688</x:v>
      </x:c>
      <x:c r="P16" s="30" t="str">
        <x:v>ticklabel_presence_calibration_v4.py; axis_conformity_calibration_v3.py; visual_features_v4_plot_area_v6.py; Tesseract por+eng</x:v>
      </x:c>
      <x:c r="Q16" s="30" t="str">
        <x:v>C:\Users\Labvis\Downloads\imagens3120\ticklabel_content_extraction_calibration_ba_v7.py</x:v>
      </x:c>
      <x:c r="R16" s="30" t="str">
        <x:v>B-A observa; não decide conformidade. OCR falho não equivale a não conformidade.</x:v>
      </x:c>
      <x:c r="S16" s="30" t="str">
        <x:v>OK</x:v>
      </x:c>
      <x:c r="T16" s="30" t="str">
        <x:v>README_ticklabel_content_extraction_holdout_ba_v7_frozen.txt</x:v>
      </x:c>
    </x:row>
    <x:row r="17">
      <x:c r="A17" s="30" t="str">
        <x:v>CV-16</x:v>
      </x:c>
      <x:c r="B17" s="30" t="str">
        <x:v>Conteúdo dos tick labels</x:v>
      </x:c>
      <x:c r="C17" s="30" t="str">
        <x:v>Holdout B-A</x:v>
      </x:c>
      <x:c r="D17" s="30" t="str">
        <x:v>ticklabel_content_extraction_holdout_ba_v7_frozen.py</x:v>
      </x:c>
      <x:c r="E17" s="30" t="str">
        <x:v>Código</x:v>
      </x:c>
      <x:c r="F17" s="30" t="str">
        <x:v>V7 frozen</x:v>
      </x:c>
      <x:c r="G17" s="30" t="str">
        <x:v>HOLDOUT INDEPENDENTE</x:v>
      </x:c>
      <x:c r="H17" s="30" t="str">
        <x:v>Validar a extração B-A V7 sem reajuste e sem comparar com F.</x:v>
      </x:c>
      <x:c r="I17" s="30" t="str">
        <x:v>Detector B-A V7 + 120 novas unidades/imagens.</x:v>
      </x:c>
      <x:c r="J17" s="30" t="str">
        <x:v>CSVs de holdout, auditoria de 240 eixos, pranchas.</x:v>
      </x:c>
      <x:c r="K17" s="30" t="str">
        <x:v>120 imagens / 240 eixos</x:v>
      </x:c>
      <x:c r="L17" s="30" t="str">
        <x:v>Não</x:v>
      </x:c>
      <x:c r="M17" s="30" t="str">
        <x:v>Não</x:v>
      </x:c>
      <x:c r="N17" s="30" t="str">
        <x:v>Exclui 72 unidades de calibração; semente 20260901; zero sobreposição.</x:v>
      </x:c>
      <x:c r="O17" s="30" t="str">
        <x:v>ebadeafb4c6a956bb0ca5741eb6de5a15dc0487336a9780620ad0768b907913e</x:v>
      </x:c>
      <x:c r="P17" s="30" t="str">
        <x:v>ticklabel_content_extraction_calibration_ba_v7.py; ticklabel_presence_calibration_v4.py; crosswalk V3</x:v>
      </x:c>
      <x:c r="Q17" s="30" t="str">
        <x:v>C:\Users\Labvis\Downloads\imagens3120\ticklabel_content_extraction_holdout_ba_v7_frozen.py</x:v>
      </x:c>
      <x:c r="R17" s="30" t="str">
        <x:v>Não recalibrar após observar o holdout.</x:v>
      </x:c>
      <x:c r="S17" s="30" t="str">
        <x:v>OK</x:v>
      </x:c>
      <x:c r="T17" s="30" t="str">
        <x:v>README_ticklabel_content_extraction_holdout_ba_v7_frozen.txt</x:v>
      </x:c>
    </x:row>
    <x:row r="18">
      <x:c r="A18" s="30" t="str">
        <x:v>CV-17</x:v>
      </x:c>
      <x:c r="B18" s="30" t="str">
        <x:v>Conteúdo dos tick labels</x:v>
      </x:c>
      <x:c r="C18" s="30" t="str">
        <x:v>Produção B-A</x:v>
      </x:c>
      <x:c r="D18" s="30" t="str">
        <x:v>ticklabel_content_extraction_production_ba_v7_frozen.py</x:v>
      </x:c>
      <x:c r="E18" s="30" t="str">
        <x:v>Código</x:v>
      </x:c>
      <x:c r="F18" s="30" t="str">
        <x:v>V7 frozen</x:v>
      </x:c>
      <x:c r="G18" s="30" t="str">
        <x:v>PRODUÇÃO FINAL B-A</x:v>
      </x:c>
      <x:c r="H18" s="30" t="str">
        <x:v>Executar o extrator congelado nas 3.120 imagens, sem F, e gerar dados observados por eixo/label.</x:v>
      </x:c>
      <x:c r="I18" s="30" t="str">
        <x:v>3.120 PNG + B-A V7 + dependências congeladas.</x:v>
      </x:c>
      <x:c r="J18" s="30" t="str">
        <x:v>ticklabel_ba_v7_production_images.csv; axes.csv; labels.csv; numeric_candidates.csv; audit_all_axes.csv.</x:v>
      </x:c>
      <x:c r="K18" s="30" t="str">
        <x:v>3.120 imagens / 6.240 eixos</x:v>
      </x:c>
      <x:c r="L18" s="30" t="str">
        <x:v>Não</x:v>
      </x:c>
      <x:c r="M18" s="30" t="str">
        <x:v>Não</x:v>
      </x:c>
      <x:c r="N18" s="30" t="str">
        <x:v>Usa versão previamente validada; não recalibra na produção.</x:v>
      </x:c>
      <x:c r="O18" s="30" t="str">
        <x:v>Dependência B-A V7: 21423b59ce40eb351693f00b6a197936d936fe53131467f47c1031da864fd688</x:v>
      </x:c>
      <x:c r="P18" s="30" t="str">
        <x:v>B-A V7; presence V4; axis V3; Tesseract 5.4.0.20240606 por+eng</x:v>
      </x:c>
      <x:c r="Q18" s="30" t="str">
        <x:v>C:\Users\Labvis\Downloads\imagens3120\imagens\_ticklabel_content_extraction_production_ba_v7_frozen</x:v>
      </x:c>
      <x:c r="R18" s="30" t="str">
        <x:v>Base observacional para B-B numérico/temporal.</x:v>
      </x:c>
      <x:c r="S18" s="30" t="str">
        <x:v>OK</x:v>
      </x:c>
      <x:c r="T18" s="30" t="str">
        <x:v>CANDIDATOS_TECNICA_PRODUCAO_V3_RESUMO.txt</x:v>
      </x:c>
    </x:row>
    <x:row r="19">
      <x:c r="A19" s="30" t="str">
        <x:v>CV-18</x:v>
      </x:c>
      <x:c r="B19" s="30" t="str">
        <x:v>Conteúdo categórico</x:v>
      </x:c>
      <x:c r="C19" s="30" t="str">
        <x:v>Extrator B-A-CAT</x:v>
      </x:c>
      <x:c r="D19" s="30" t="str">
        <x:v>ticklabel_categorical_extraction_calibration_ba_cat_v9.py</x:v>
      </x:c>
      <x:c r="E19" s="30" t="str">
        <x:v>Código</x:v>
      </x:c>
      <x:c r="F19" s="30" t="str">
        <x:v>V9</x:v>
      </x:c>
      <x:c r="G19" s="30" t="str">
        <x:v>CONGELADO</x:v>
      </x:c>
      <x:c r="H19" s="30" t="str">
        <x:v>Extrair categorias observadas em BI/BC por orientação, slots e consenso de OCR, sem receber categorias esperadas, contagem esperada ou ordem.</x:v>
      </x:c>
      <x:c r="I19" s="30" t="str">
        <x:v>PNG BI/BC + dependências B-A V7/V4.</x:v>
      </x:c>
      <x:c r="J19" s="30" t="str">
        <x:v>Sequência categórica observada, status COMPLETE/AMBIGUOUS/PARTIAL e candidatos.</x:v>
      </x:c>
      <x:c r="K19" s="30" t="str">
        <x:v>Perfis BI/BC; produção em 1.040 imagens</x:v>
      </x:c>
      <x:c r="L19" s="30" t="str">
        <x:v>Não</x:v>
      </x:c>
      <x:c r="M19" s="30" t="str">
        <x:v>Não</x:v>
      </x:c>
      <x:c r="N19" s="30" t="str">
        <x:v>Holdout CAT V9 independente de 40 imagens.</x:v>
      </x:c>
      <x:c r="O19" s="30" t="str">
        <x:v>65d29b4c1aaad4e054922e37b0cb5496084520fd31b1977bc1d003d9fd2fc5e9</x:v>
      </x:c>
      <x:c r="P19" s="30" t="str">
        <x:v>B-A V7; presence V4; Tesseract por+eng</x:v>
      </x:c>
      <x:c r="Q19" s="30" t="str">
        <x:v>C:\Users\Labvis\Downloads\imagens3120\ticklabel_categorical_extraction_calibration_ba_cat_v9.py</x:v>
      </x:c>
      <x:c r="R19" s="30" t="str">
        <x:v>V9 não atingiu o gate de 95% para COMPLETE automático no holdout; por isso produção pertinente foi adjudicada manualmente de forma cega.</x:v>
      </x:c>
      <x:c r="S19" s="30" t="str">
        <x:v>OK</x:v>
      </x:c>
      <x:c r="T19" s="30" t="str">
        <x:v>ba_cat_v9_summary.txt; ba_cat_v9_holdout_summary.txt</x:v>
      </x:c>
    </x:row>
    <x:row r="20">
      <x:c r="A20" s="30" t="str">
        <x:v>CV-19</x:v>
      </x:c>
      <x:c r="B20" s="30" t="str">
        <x:v>Conteúdo categórico</x:v>
      </x:c>
      <x:c r="C20" s="30" t="str">
        <x:v>Holdout B-A-CAT</x:v>
      </x:c>
      <x:c r="D20" s="30" t="str">
        <x:v>Wrapper de holdout CAT V9 congelada (nome exato do .py não localizado)</x:v>
      </x:c>
      <x:c r="E20" s="30" t="str">
        <x:v>Código/execução</x:v>
      </x:c>
      <x:c r="F20" s="30" t="str">
        <x:v>V9</x:v>
      </x:c>
      <x:c r="G20" s="30" t="str">
        <x:v>HOLDOUT INDEPENDENTE</x:v>
      </x:c>
      <x:c r="H20" s="30" t="str">
        <x:v>Executar V9 sem ajuste em 40 imagens novas, excluindo calibração e primeiro holdout B-A.</x:v>
      </x:c>
      <x:c r="I20" s="30" t="str">
        <x:v>CAT V9 + crosswalk + listas de exclusão.</x:v>
      </x:c>
      <x:c r="J20" s="30" t="str">
        <x:v>ba_cat_v9_holdout_*; adjudicação manual do holdout.</x:v>
      </x:c>
      <x:c r="K20" s="30" t="str">
        <x:v>40 imagens</x:v>
      </x:c>
      <x:c r="L20" s="30" t="str">
        <x:v>Não</x:v>
      </x:c>
      <x:c r="M20" s="30" t="str">
        <x:v>Não</x:v>
      </x:c>
      <x:c r="N20" s="30" t="str">
        <x:v>Semente 20260905; 192 unidades excluídas; zero sobreposição.</x:v>
      </x:c>
      <x:c r="O20" s="30" t="str">
        <x:v>CAT V9: 65d29b4c1aaad4e054922e37b0cb5496084520fd31b1977bc1d003d9fd2fc5e9</x:v>
      </x:c>
      <x:c r="P20" s="30" t="str">
        <x:v>CAT V9; B-A V7; presence V4</x:v>
      </x:c>
      <x:c r="Q20" s="30" t="str">
        <x:v>C:\Users\Labvis\Downloads\imagens3120\imagens\_ba_cat_v9_holdout</x:v>
      </x:c>
      <x:c r="R20" s="30" t="str">
        <x:v>23 COMPLETE; 10 AMBIGUOUS; 5 ORIENTATION_AMBIGUOUS; 2 PARTIAL automáticos.</x:v>
      </x:c>
      <x:c r="S20" s="30" t="str">
        <x:v>PARCIAL</x:v>
      </x:c>
      <x:c r="T20" s="30" t="str">
        <x:v>ba_cat_v9_holdout_summary.txt</x:v>
      </x:c>
    </x:row>
    <x:row r="21">
      <x:c r="A21" s="30" t="str">
        <x:v>CV-20</x:v>
      </x:c>
      <x:c r="B21" s="30" t="str">
        <x:v>Comparação B-B</x:v>
      </x:c>
      <x:c r="C21" s="30" t="str">
        <x:v>Normalização</x:v>
      </x:c>
      <x:c r="D21" s="30" t="str">
        <x:v>B_B_NORMALIZATION_V1.xlsx / B_B_NORMALIZATION_V1.json</x:v>
      </x:c>
      <x:c r="E21" s="30" t="str">
        <x:v>Configuração normativa</x:v>
      </x:c>
      <x:c r="F21" s="30" t="str">
        <x:v>V1</x:v>
      </x:c>
      <x:c r="G21" s="30" t="str">
        <x:v>CONGELADO</x:v>
      </x:c>
      <x:c r="H21" s="30" t="str">
        <x:v>Definir normalizações e equivalências benignas para comparar conteúdo observado e especificado sem fuzzy matching aberto.</x:v>
      </x:c>
      <x:c r="I21" s="30" t="str">
        <x:v>Texto/valor observado + texto/valor de F.</x:v>
      </x:c>
      <x:c r="J21" s="30" t="str">
        <x:v>Classes de equivalência e regras de comparação.</x:v>
      </x:c>
      <x:c r="K21" s="30" t="str">
        <x:v>Aplicado a conteúdo categórico, numérico e temporal</x:v>
      </x:c>
      <x:c r="L21" s="30" t="str">
        <x:v>Sim</x:v>
      </x:c>
      <x:c r="M21" s="30" t="str">
        <x:v>Sim</x:v>
      </x:c>
      <x:c r="N21" s="30" t="str">
        <x:v>Regra congelada antes da comparação final.</x:v>
      </x:c>
      <x:c r="O21" s="30" t="str">
        <x:v>N/A</x:v>
      </x:c>
      <x:c r="P21" s="30" t="str">
        <x:v>F_MASTER; resultados B-A</x:v>
      </x:c>
      <x:c r="Q21" s="30" t="str">
        <x:v>C:\Users\Labvis\Downloads\imagens3120\B_B_NORMALIZATION_V1.xlsx</x:v>
      </x:c>
      <x:c r="R21" s="30" t="str">
        <x:v>Inclui case/acento/espaços, unidades M/K/B, números, arredondamento; não permite sinônimos fuzzy.</x:v>
      </x:c>
      <x:c r="S21" s="30" t="str">
        <x:v>OK</x:v>
      </x:c>
      <x:c r="T21" s="30" t="str">
        <x:v>B_B_NORMALIZATION_V1.xlsx</x:v>
      </x:c>
    </x:row>
    <x:row r="22">
      <x:c r="A22" s="30" t="str">
        <x:v>CV-21</x:v>
      </x:c>
      <x:c r="B22" s="30" t="str">
        <x:v>Conteúdo numérico/temporal</x:v>
      </x:c>
      <x:c r="C22" s="30" t="str">
        <x:v>Comparação B-B</x:v>
      </x:c>
      <x:c r="D22" s="30" t="str">
        <x:v>BA_BB_V7_PRODUCTION_X15_FINAL.xlsx + scripts/auditorias associados</x:v>
      </x:c>
      <x:c r="E22" s="30" t="str">
        <x:v>Artefato/resultado</x:v>
      </x:c>
      <x:c r="F22" s="30" t="str">
        <x:v>Final</x:v>
      </x:c>
      <x:c r="G22" s="30" t="str">
        <x:v>RESULTADO FINAL B-B</x:v>
      </x:c>
      <x:c r="H22" s="30" t="str">
        <x:v>Comparar conteúdo numérico/temporal observado na B-A com F, respeitando escopo, normalização e estados UNEVALUABLE.</x:v>
      </x:c>
      <x:c r="I22" s="30" t="str">
        <x:v>B-A V7 produção + F V4 + normalização B-B.</x:v>
      </x:c>
      <x:c r="J22" s="30" t="str">
        <x:v>CONFORMING/NONCONFORMING/UNEVALUABLE por instância/eixo.</x:v>
      </x:c>
      <x:c r="K22" s="30" t="str">
        <x:v>Eixos numéricos/temporais avaliáveis</x:v>
      </x:c>
      <x:c r="L22" s="30" t="str">
        <x:v>Sim</x:v>
      </x:c>
      <x:c r="M22" s="30" t="str">
        <x:v>Sim</x:v>
      </x:c>
      <x:c r="N22" s="30" t="str">
        <x:v>Casos automáticos problemáticos foram auditados separadamente.</x:v>
      </x:c>
      <x:c r="O22" s="30" t="str">
        <x:v>N/A</x:v>
      </x:c>
      <x:c r="P22" s="30" t="str">
        <x:v>B-A V7; F_MASTER_V4; B_B_NORMALIZATION_V1</x:v>
      </x:c>
      <x:c r="Q22" s="30" t="str">
        <x:v>C:\Users\Labvis\Downloads\imagens3120\BA_BB_V7_PRODUCTION_X15_FINAL.xlsx</x:v>
      </x:c>
      <x:c r="R22" s="30" t="str">
        <x:v>Resultado final numérico/temporal: 1034 C, 66 NC, 0 U entre 1100 eixos F-avaliáveis.</x:v>
      </x:c>
      <x:c r="S22" s="30" t="str">
        <x:v>OK</x:v>
      </x:c>
      <x:c r="T22" s="30" t="str">
        <x:v>BA_BB_V7_PRODUCTION_X15_FINAL.xlsx; AUDITORIA_BA_BB_V7_X22_FINAL.xlsx</x:v>
      </x:c>
    </x:row>
    <x:row r="23">
      <x:c r="A23" s="30" t="str">
        <x:v>CV-22</x:v>
      </x:c>
      <x:c r="B23" s="30" t="str">
        <x:v>Conteúdo categórico</x:v>
      </x:c>
      <x:c r="C23" s="30" t="str">
        <x:v>Comparação B-B</x:v>
      </x:c>
      <x:c r="D23" s="30" t="str">
        <x:v>BA_BB_CATEGORICAL_PRODUCTION_FINAL.xlsx</x:v>
      </x:c>
      <x:c r="E23" s="30" t="str">
        <x:v>Artefato/resultado</x:v>
      </x:c>
      <x:c r="F23" s="30" t="str">
        <x:v>Final</x:v>
      </x:c>
      <x:c r="G23" s="30" t="str">
        <x:v>RESULTADO FINAL B-B</x:v>
      </x:c>
      <x:c r="H23" s="30" t="str">
        <x:v>Comparar categorias visualmente adjudicadas cegamente com F depois da extração/observação.</x:v>
      </x:c>
      <x:c r="I23" s="30" t="str">
        <x:v>Adjudicação cega + F + normalização B-B.</x:v>
      </x:c>
      <x:c r="J23" s="30" t="str">
        <x:v>Status B-B categórico final.</x:v>
      </x:c>
      <x:c r="K23" s="30" t="str">
        <x:v>280 casos F-avaliáveis revisados; 262 no denominador após U</x:v>
      </x:c>
      <x:c r="L23" s="30" t="str">
        <x:v>Sim</x:v>
      </x:c>
      <x:c r="M23" s="30" t="str">
        <x:v>Sim</x:v>
      </x:c>
      <x:c r="N23" s="30" t="str">
        <x:v>Todos os 280 casos F-avaliáveis foram revisados manualmente sem consulta a F na fase de observação.</x:v>
      </x:c>
      <x:c r="O23" s="30" t="str">
        <x:v>N/A</x:v>
      </x:c>
      <x:c r="P23" s="30" t="str">
        <x:v>B-A-CAT V9; F_MASTER_V4; B_B_NORMALIZATION_V1</x:v>
      </x:c>
      <x:c r="Q23" s="30" t="str">
        <x:v>C:\Users\Labvis\Downloads\imagens3120\BA_BB_CATEGORICAL_PRODUCTION_FINAL.xlsx</x:v>
      </x:c>
      <x:c r="R23" s="30" t="str">
        <x:v>194 C; 68 NC; 18 U; taxa 74,05% entre avaliáveis.</x:v>
      </x:c>
      <x:c r="S23" s="30" t="str">
        <x:v>OK</x:v>
      </x:c>
      <x:c r="T23" s="30" t="str">
        <x:v>BA_BB_CATEGORICAL_PRODUCTION_FINAL.xlsx</x:v>
      </x:c>
    </x:row>
    <x:row r="24">
      <x:c r="A24" s="30" t="str">
        <x:v>CV-23</x:v>
      </x:c>
      <x:c r="B24" s="30" t="str">
        <x:v>Técnica gráfica</x:v>
      </x:c>
      <x:c r="C24" s="30" t="str">
        <x:v>Holdout classificador exclusivo</x:v>
      </x:c>
      <x:c r="D24" s="30" t="str">
        <x:v>chart_type_exclusive_holdout_v2.py</x:v>
      </x:c>
      <x:c r="E24" s="30" t="str">
        <x:v>Código</x:v>
      </x:c>
      <x:c r="F24" s="30" t="str">
        <x:v>V2</x:v>
      </x:c>
      <x:c r="G24" s="30" t="str">
        <x:v>HOLDOUT INDEPENDENTE</x:v>
      </x:c>
      <x:c r="H24" s="30" t="str">
        <x:v>Classificar cada imagem em uma única classe BAR, LINE, SCATTER ou OTHER sem usar a técnica esperada para escolher a classe.</x:v>
      </x:c>
      <x:c r="I24" s="30" t="str">
        <x:v>PNG novas + descritores do detector V3.</x:v>
      </x:c>
      <x:c r="J24" s="30" t="str">
        <x:v>chart_type_exclusive_holdout_v2.csv; contact sheets; summary.</x:v>
      </x:c>
      <x:c r="K24" s="30" t="str">
        <x:v>60 imagens novas</x:v>
      </x:c>
      <x:c r="L24" s="30" t="str">
        <x:v>Não</x:v>
      </x:c>
      <x:c r="M24" s="30" t="str">
        <x:v>Não</x:v>
      </x:c>
      <x:c r="N24" s="30" t="str">
        <x:v>Exclui calibração/holdout anteriores; 57 MATCH, 2 MISMATCH e 1 U em 60.</x:v>
      </x:c>
      <x:c r="O24" s="30" t="str">
        <x:v>Não localizado.</x:v>
      </x:c>
      <x:c r="P24" s="30" t="str">
        <x:v>mark_presence_validation_v3.py</x:v>
      </x:c>
      <x:c r="Q24" s="30" t="str">
        <x:v>C:\Users\Labvis\Downloads\imagens3120\chart_type_exclusive_holdout_v2.py</x:v>
      </x:c>
      <x:c r="R24" s="30" t="str">
        <x:v>Regras: BAR MAX_H_FRAC≥0,10; LINE XBIN_SUPPORT≥0,50; SCATTER n≥2 e dispersão≥0,03; OTHER caso contrário.</x:v>
      </x:c>
      <x:c r="S24" s="30" t="str">
        <x:v>OK</x:v>
      </x:c>
      <x:c r="T24" s="30" t="str">
        <x:v>CODIGO_TECNICA_PARA_REVISAO_V1.txt</x:v>
      </x:c>
    </x:row>
    <x:row r="25">
      <x:c r="A25" s="30" t="str">
        <x:v>CV-24</x:v>
      </x:c>
      <x:c r="B25" s="30" t="str">
        <x:v>Técnica gráfica</x:v>
      </x:c>
      <x:c r="C25" s="30" t="str">
        <x:v>Produção classificador exclusivo</x:v>
      </x:c>
      <x:c r="D25" s="30" t="str">
        <x:v>chart_type_exclusive_production_v2_frozen.py</x:v>
      </x:c>
      <x:c r="E25" s="30" t="str">
        <x:v>Código</x:v>
      </x:c>
      <x:c r="F25" s="30" t="str">
        <x:v>V2 frozen</x:v>
      </x:c>
      <x:c r="G25" s="30" t="str">
        <x:v>PRODUÇÃO FINAL B-A</x:v>
      </x:c>
      <x:c r="H25" s="30" t="str">
        <x:v>Aplicar às 3.120 imagens as regras exclusivas congeladas, sem F, sem profile e sem expected_type na classificação.</x:v>
      </x:c>
      <x:c r="I25" s="30" t="str">
        <x:v>3.120 PNG + detector V3.</x:v>
      </x:c>
      <x:c r="J25" s="30" t="str">
        <x:v>CHART_TYPE_EXCLUSIVE_PRODUCTION_V2_FROZEN_FINAL.csv; manifest; summary.</x:v>
      </x:c>
      <x:c r="K25" s="30" t="str">
        <x:v>3.120 imagens</x:v>
      </x:c>
      <x:c r="L25" s="30" t="str">
        <x:v>Não</x:v>
      </x:c>
      <x:c r="M25" s="30" t="str">
        <x:v>Não</x:v>
      </x:c>
      <x:c r="N25" s="30" t="str">
        <x:v>Regras provenientes do holdout V2 e congeladas antes da produção.</x:v>
      </x:c>
      <x:c r="O25" s="30" t="str">
        <x:v>SHA do script não localizado; dependência V3 = 8f33f4daa7e8f1cc8feba58e5ea5f80bc75639334f9e64cf6339408152bc78a2</x:v>
      </x:c>
      <x:c r="P25" s="30" t="str">
        <x:v>mark_presence_validation_v3.py</x:v>
      </x:c>
      <x:c r="Q25" s="30" t="str">
        <x:v>C:\Users\Labvis\Downloads\imagens3120\chart_type_exclusive_production_v2_frozen.py</x:v>
      </x:c>
      <x:c r="R25" s="30" t="str">
        <x:v>BAR 1008; LINE 1026; SCATTER 1066; OTHER 20; erros=0.</x:v>
      </x:c>
      <x:c r="S25" s="30" t="str">
        <x:v>OK</x:v>
      </x:c>
      <x:c r="T25" s="30" t="str">
        <x:v>CHART_TYPE_EXCLUSIVE_PRODUCTION_V2_FROZEN_SUMMARY.txt; MANIFEST.txt</x:v>
      </x:c>
    </x:row>
    <x:row r="26">
      <x:c r="A26" s="30" t="str">
        <x:v>CV-25</x:v>
      </x:c>
      <x:c r="B26" s="30" t="str">
        <x:v>Técnica gráfica</x:v>
      </x:c>
      <x:c r="C26" s="30" t="str">
        <x:v>Adjudicação B-B final</x:v>
      </x:c>
      <x:c r="D26" s="30" t="str">
        <x:v>BB_TECHNIQUE_PRODUCTION_FINAL_AUDITED_3120.csv</x:v>
      </x:c>
      <x:c r="E26" s="30" t="str">
        <x:v>Artefato/resultado</x:v>
      </x:c>
      <x:c r="F26" s="30" t="str">
        <x:v>Final</x:v>
      </x:c>
      <x:c r="G26" s="30" t="str">
        <x:v>RESULTADO FINAL</x:v>
      </x:c>
      <x:c r="H26" s="30" t="str">
        <x:v>Confrontar técnica observada com a técnica normativa, integrar revisão cega de discrepâncias e preservar conflitos internos de F.</x:v>
      </x:c>
      <x:c r="I26" s="30" t="str">
        <x:v>Classificação B-A + revisão das discrepâncias + F.</x:v>
      </x:c>
      <x:c r="J26" s="30" t="str">
        <x:v>technique_status final por imagem.</x:v>
      </x:c>
      <x:c r="K26" s="30" t="str">
        <x:v>3.120 imagens</x:v>
      </x:c>
      <x:c r="L26" s="30" t="str">
        <x:v>Sim</x:v>
      </x:c>
      <x:c r="M26" s="30" t="str">
        <x:v>Sim</x:v>
      </x:c>
      <x:c r="N26" s="30" t="str">
        <x:v>55 discrepâncias automáticas revisadas cegamente; QC de 120 auto-conformes confirmou 120/120.</x:v>
      </x:c>
      <x:c r="O26" s="30" t="str">
        <x:v>N/A</x:v>
      </x:c>
      <x:c r="P26" s="30" t="str">
        <x:v>chart_type_exclusive_production_v2_frozen; F_MASTER; revisão manual</x:v>
      </x:c>
      <x:c r="Q26" s="30" t="str">
        <x:v>C:\Users\Labvis\Downloads\imagens3120\BB_TECHNIQUE_PRODUCTION_FINAL_AUDITED_3120.csv</x:v>
      </x:c>
      <x:c r="R26" s="30" t="str">
        <x:v>3072 C; 25 NC; 3 U; 20 UNEVALUABLE_SPEC_CONFLICT; taxa 99,19% entre avaliáveis.</x:v>
      </x:c>
      <x:c r="S26" s="30" t="str">
        <x:v>OK</x:v>
      </x:c>
      <x:c r="T26" s="30" t="str">
        <x:v>BB_TECHNIQUE_PRODUCTION_FINAL_AUDITED_3120.csv</x:v>
      </x:c>
    </x:row>
    <x:row r="27">
      <x:c r="A27" s="30" t="str">
        <x:v>CV-26</x:v>
      </x:c>
      <x:c r="B27" s="30" t="str">
        <x:v>Metadados experimentais</x:v>
      </x:c>
      <x:c r="C27" s="30" t="str">
        <x:v>Crosswalk</x:v>
      </x:c>
      <x:c r="D27" s="30" t="str">
        <x:v>experimental_image_crosswalk_v3.csv / experimental_unit_crosswalk_v3.csv</x:v>
      </x:c>
      <x:c r="E27" s="30" t="str">
        <x:v>Metadado</x:v>
      </x:c>
      <x:c r="F27" s="30" t="str">
        <x:v>V3</x:v>
      </x:c>
      <x:c r="G27" s="30" t="str">
        <x:v>CONGELADO</x:v>
      </x:c>
      <x:c r="H27" s="30" t="str">
        <x:v>Relacionar filename, unidade, repetição, participante, condição de prompting, perfil, técnica e tarefa.</x:v>
      </x:c>
      <x:c r="I27" s="30" t="str">
        <x:v>Inventário de 3.120 arquivos + desenho experimental.</x:v>
      </x:c>
      <x:c r="J27" s="30" t="str">
        <x:v>Crosswalk por imagem e por unidade.</x:v>
      </x:c>
      <x:c r="K27" s="30" t="str">
        <x:v>3.120 imagens / 312 unidades</x:v>
      </x:c>
      <x:c r="L27" s="30" t="str">
        <x:v>Não</x:v>
      </x:c>
      <x:c r="M27" s="30" t="str">
        <x:v>Não</x:v>
      </x:c>
      <x:c r="N27" s="30" t="str">
        <x:v>Usado nos processamentos finais e agregações.</x:v>
      </x:c>
      <x:c r="O27" s="30" t="str">
        <x:v>N/A</x:v>
      </x:c>
      <x:c r="P27" s="30" t="str">
        <x:v>Inventário de arquivos/prompts</x:v>
      </x:c>
      <x:c r="Q27" s="30" t="str">
        <x:v>C:\Users\Labvis\Downloads\imagens3120\imagens\_experimental_crosswalk_v3</x:v>
      </x:c>
      <x:c r="R27" s="30" t="str">
        <x:v>Fonte de balanceamento e agrupamento experimental.</x:v>
      </x:c>
      <x:c r="S27" s="30" t="str">
        <x:v>OK</x:v>
      </x:c>
      <x:c r="T27" s="30" t="str">
        <x:v>axis_presence_summary_v5_1.txt; CANDIDATOS_TECNICA_PRODUCAO_V3_RESUMO.txt</x:v>
      </x:c>
    </x:row>
    <x:row r="28">
      <x:c r="A28" s="30" t="str">
        <x:v>CV-27</x:v>
      </x:c>
      <x:c r="B28" s="30" t="str">
        <x:v>Especificação formal</x:v>
      </x:c>
      <x:c r="C28" s="30" t="str">
        <x:v>Fonte normativa</x:v>
      </x:c>
      <x:c r="D28" s="30" t="str">
        <x:v>F_MASTER_V4_TICK_SCOPE_ADJUDICATED.xlsx</x:v>
      </x:c>
      <x:c r="E28" s="30" t="str">
        <x:v>Especificação</x:v>
      </x:c>
      <x:c r="F28" s="30" t="str">
        <x:v>V4</x:v>
      </x:c>
      <x:c r="G28" s="30" t="str">
        <x:v>CONGELADA / FONTE DE VERDADE</x:v>
      </x:c>
      <x:c r="H28" s="30" t="str">
        <x:v>Registrar para cada unidade os requisitos normativos que podem ser avaliados, incluindo escopo de ticks e conflitos de especificação.</x:v>
      </x:c>
      <x:c r="I28" s="30" t="str">
        <x:v>F_COMMON ⊕ F_CONDITION(i) ⊕ F_UNIT_PROMPT(i), com adjudicações formais.</x:v>
      </x:c>
      <x:c r="J28" s="30" t="str">
        <x:v>Especificação F por unidade/atributo.</x:v>
      </x:c>
      <x:c r="K28" s="30" t="str">
        <x:v>312 unidades</x:v>
      </x:c>
      <x:c r="L28" s="30" t="str">
        <x:v>É F</x:v>
      </x:c>
      <x:c r="M28" s="30" t="str">
        <x:v>N/A</x:v>
      </x:c>
      <x:c r="N28" s="30" t="str">
        <x:v>Não deve ser reconstruída a partir dos outputs ou das imagens de referência.</x:v>
      </x:c>
      <x:c r="O28" s="30" t="str">
        <x:v>N/A</x:v>
      </x:c>
      <x:c r="P28" s="30" t="str">
        <x:v>Prompts, condição experimental e regras gerais formalizadas</x:v>
      </x:c>
      <x:c r="Q28" s="30" t="str">
        <x:v>C:\Users\Labvis\Downloads\imagens3120\F_MASTER_V4_TICK_SCOPE_ADJUDICATED.xlsx</x:v>
      </x:c>
      <x:c r="R28" s="30" t="str">
        <x:v>Corrige apenas erros materiais inequívocos da própria especificação, sem consultar outputs.</x:v>
      </x:c>
      <x:c r="S28" s="30" t="str">
        <x:v>OK</x:v>
      </x:c>
      <x:c r="T28" s="30" t="str">
        <x:v>F_MASTER_V4_TICK_SCOPE_ADJUDICATED.xlsx</x:v>
      </x:c>
    </x:row>
    <x:row r="29">
      <x:c r="A29" s="30" t="str">
        <x:v>CV-28</x:v>
      </x:c>
      <x:c r="B29" s="30" t="str">
        <x:v>Integração</x:v>
      </x:c>
      <x:c r="C29" s="30" t="str">
        <x:v>Integração intermediária</x:v>
      </x:c>
      <x:c r="D29" s="30" t="str">
        <x:v>INTEGRACAO_FONTES_POR_IMAGEM_V2.csv</x:v>
      </x:c>
      <x:c r="E29" s="30" t="str">
        <x:v>Artefato/resultado</x:v>
      </x:c>
      <x:c r="F29" s="30" t="str">
        <x:v>V2</x:v>
      </x:c>
      <x:c r="G29" s="30" t="str">
        <x:v>INTERMEDIÁRIO</x:v>
      </x:c>
      <x:c r="H29" s="30" t="str">
        <x:v>Reunir por imagem os resultados de marca, eixos, cor, presença de tick labels e diagnóstico de plot area antes do fechamento de técnica/conteúdo.</x:v>
      </x:c>
      <x:c r="I29" s="30" t="str">
        <x:v>Saídas finais/parciais das dimensões.</x:v>
      </x:c>
      <x:c r="J29" s="30" t="str">
        <x:v>Uma linha por imagem com estados dimensionais.</x:v>
      </x:c>
      <x:c r="K29" s="30" t="str">
        <x:v>3.120 linhas</x:v>
      </x:c>
      <x:c r="L29" s="30" t="str">
        <x:v>Parcial</x:v>
      </x:c>
      <x:c r="M29" s="30" t="str">
        <x:v>Parcial</x:v>
      </x:c>
      <x:c r="N29" s="30" t="str">
        <x:v>Valida contagens esperadas das fontes integradas.</x:v>
      </x:c>
      <x:c r="O29" s="30" t="str">
        <x:v>N/A</x:v>
      </x:c>
      <x:c r="P29" s="30" t="str">
        <x:v>mark/axis/color/tick presence/plot area</x:v>
      </x:c>
      <x:c r="Q29" s="30" t="str">
        <x:v>C:\Users\Labvis\Downloads\imagens3120\INTEGRACAO_FONTES_POR_IMAGEM_V2.csv</x:v>
      </x:c>
      <x:c r="R29" s="30" t="str">
        <x:v>Foi base para localizar fontes e candidatos antes do master final.</x:v>
      </x:c>
      <x:c r="S29" s="30" t="str">
        <x:v>OK</x:v>
      </x:c>
      <x:c r="T29" s="30" t="str">
        <x:v>INTEGRACAO_FONTES_POR_IMAGEM_V2_RESUMO.txt</x:v>
      </x:c>
    </x:row>
    <x:row r="30">
      <x:c r="A30" s="30" t="str">
        <x:v>CV-29</x:v>
      </x:c>
      <x:c r="B30" s="30" t="str">
        <x:v>Integração</x:v>
      </x:c>
      <x:c r="C30" s="30" t="str">
        <x:v>Master final</x:v>
      </x:c>
      <x:c r="D30" s="30" t="str">
        <x:v>INTEGRACAO_CONFORMIDADE_VISUAL_MASTER_V4_FINAL.csv</x:v>
      </x:c>
      <x:c r="E30" s="30" t="str">
        <x:v>Artefato/resultado</x:v>
      </x:c>
      <x:c r="F30" s="30" t="str">
        <x:v>V4 final</x:v>
      </x:c>
      <x:c r="G30" s="30" t="str">
        <x:v>MASTER FINAL</x:v>
      </x:c>
      <x:c r="H30" s="30" t="str">
        <x:v>Integrar as seis dimensões normativas finais por imagem e aplicar a regra estrita de conformidade global.</x:v>
      </x:c>
      <x:c r="I30" s="30" t="str">
        <x:v>Marca + eixos + cor + tick presence + técnica + tick content + metadados.</x:v>
      </x:c>
      <x:c r="J30" s="30" t="str">
        <x:v>Status final por dimensão e status global por imagem.</x:v>
      </x:c>
      <x:c r="K30" s="30" t="str">
        <x:v>3.120 imagens</x:v>
      </x:c>
      <x:c r="L30" s="30" t="str">
        <x:v>Sim</x:v>
      </x:c>
      <x:c r="M30" s="30" t="str">
        <x:v>Sim</x:v>
      </x:c>
      <x:c r="N30" s="30" t="str">
        <x:v>Estados finais normalizados e integração estrita definida previamente.</x:v>
      </x:c>
      <x:c r="O30" s="30" t="str">
        <x:v>N/A</x:v>
      </x:c>
      <x:c r="P30" s="30" t="str">
        <x:v>Todos os componentes finais; crosswalk; F</x:v>
      </x:c>
      <x:c r="Q30" s="30" t="str">
        <x:v>C:\Users\Labvis\Downloads\imagens3120\INTEGRACAO_CONFORMIDADE_VISUAL_MASTER_V4_FINAL.csv</x:v>
      </x:c>
      <x:c r="R30" s="30" t="str">
        <x:v>2676 C; 405 NC; 19 U; 20 spec-conflict; taxa estrita 2676/(2676+405)=86,85%.</x:v>
      </x:c>
      <x:c r="S30" s="30" t="str">
        <x:v>OK</x:v>
      </x:c>
      <x:c r="T30" s="30" t="str">
        <x:v>INTEGRACAO_CONFORMIDADE_VISUAL_MASTER_V4_FINAL_SUMMARY.txt</x:v>
      </x:c>
    </x:row>
    <x:row r="31">
      <x:c r="A31" s="30" t="str">
        <x:v>CV-30</x:v>
      </x:c>
      <x:c r="B31" s="30" t="str">
        <x:v>Rastreabilidade</x:v>
      </x:c>
      <x:c r="C31" s="30" t="str">
        <x:v>Manifestos e checksums</x:v>
      </x:c>
      <x:c r="D31" s="30" t="str">
        <x:v>*_MANIFEST.txt; *_summary.txt; SHA-256 via hashlib</x:v>
      </x:c>
      <x:c r="E31" s="30" t="str">
        <x:v>Metadado técnico</x:v>
      </x:c>
      <x:c r="F31" s="30" t="str">
        <x:v>Final</x:v>
      </x:c>
      <x:c r="G31" s="30" t="str">
        <x:v>OBRIGATÓRIO PARA REPRODUÇÃO</x:v>
      </x:c>
      <x:c r="H31" s="30" t="str">
        <x:v>Registrar versão, caminho, dependências, parâmetros, sementes, amostras, hashes e resultados de cada execução congelada.</x:v>
      </x:c>
      <x:c r="I31" s="30" t="str">
        <x:v>Scripts/configurações + ambiente.</x:v>
      </x:c>
      <x:c r="J31" s="30" t="str">
        <x:v>Manifestos e resumos textuais auditáveis.</x:v>
      </x:c>
      <x:c r="K31" s="30" t="str">
        <x:v>Pipeline completo</x:v>
      </x:c>
      <x:c r="L31" s="30" t="str">
        <x:v>Não</x:v>
      </x:c>
      <x:c r="M31" s="30" t="str">
        <x:v>Não</x:v>
      </x:c>
      <x:c r="N31" s="30" t="str">
        <x:v>Permite verificar que o código executado é o congelado.</x:v>
      </x:c>
      <x:c r="O31" s="30" t="str">
        <x:v>Diversos; registrar hash por arquivo no pacote final.</x:v>
      </x:c>
      <x:c r="P31" s="30" t="str">
        <x:v>hashlib; scripts e outputs correspondentes</x:v>
      </x:c>
      <x:c r="Q31" s="30" t="str">
        <x:v>C:\Users\Labvis\Downloads\imagens3120</x:v>
      </x:c>
      <x:c r="R31" s="30" t="str">
        <x:v>Essencial para auditoria e depósito do pacote reprodutível.</x:v>
      </x:c>
      <x:c r="S31" s="30" t="str">
        <x:v>OK</x:v>
      </x:c>
      <x:c r="T31" s="30" t="str">
        <x:v>README/summary/manifest preservados</x:v>
      </x:c>
    </x:row>
  </x:sheetData>
  <x:conditionalFormatting sqref="S2:S31">
    <x:cfRule type="expression" dxfId="0" priority="1">
      <x:formula>$S2="OK"</x:formula>
    </x:cfRule>
    <x:cfRule type="expression" dxfId="1" priority="2">
      <x:formula>$S2="PARCIAL"</x:formula>
    </x:cfRule>
    <x:cfRule type="expression" dxfId="2" priority="3">
      <x:formula>$S2="CONFIRMAR"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4ca60b9ee7c41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44" hidden="0" customWidth="1"/>
    <x:col min="4" max="4" width="12" hidden="0" customWidth="1"/>
    <x:col min="5" max="5" width="25" hidden="0" customWidth="1"/>
    <x:col min="6" max="6" width="46" hidden="0" customWidth="1"/>
    <x:col min="7" max="7" width="42" hidden="0" customWidth="1"/>
    <x:col min="8" max="8" width="48" hidden="0" customWidth="1"/>
    <x:col min="9" max="9" width="44" hidden="0" customWidth="1"/>
    <x:col min="10" max="10" width="42" hidden="0" customWidth="1"/>
    <x:col min="11" max="11" width="34" hidden="0" customWidth="1"/>
  </x:cols>
  <x:sheetData>
    <x:row r="1">
      <x:c r="A1" s="22" t="str">
        <x:v>ID</x:v>
      </x:c>
      <x:c r="B1" s="22" t="str">
        <x:v>Dimensão</x:v>
      </x:c>
      <x:c r="C1" s="22" t="str">
        <x:v>Arquivo / código</x:v>
      </x:c>
      <x:c r="D1" s="22" t="str">
        <x:v>Versão</x:v>
      </x:c>
      <x:c r="E1" s="22" t="str">
        <x:v>Status</x:v>
      </x:c>
      <x:c r="F1" s="22" t="str">
        <x:v>Função resumida</x:v>
      </x:c>
      <x:c r="G1" s="22" t="str">
        <x:v>Dependências</x:v>
      </x:c>
      <x:c r="H1" s="22" t="str">
        <x:v>Caminho Windows</x:v>
      </x:c>
      <x:c r="I1" s="22" t="str">
        <x:v>Comando CMD sugerido</x:v>
      </x:c>
      <x:c r="J1" s="22" t="str">
        <x:v>SHA-256</x:v>
      </x:c>
      <x:c r="K1" s="22" t="str">
        <x:v>Observação de reprodução</x:v>
      </x:c>
    </x:row>
    <x:row r="2">
      <x:c r="A2" s="27" t="str">
        <x:v>CV-01</x:v>
      </x:c>
      <x:c r="B2" s="27" t="str">
        <x:v>Área de plotagem</x:v>
      </x:c>
      <x:c r="C2" s="27" t="str">
        <x:v>visual_features_v4_plot_area_v6.py</x:v>
      </x:c>
      <x:c r="D2" s="27" t="str">
        <x:v>V6</x:v>
      </x:c>
      <x:c r="E2" s="27" t="str">
        <x:v>AUXILIAR / DIAGNÓSTICO</x:v>
      </x:c>
      <x:c r="F2" s="27" t="str">
        <x:v>Estimar a região útil do gráfico para apoiar outros detectores.</x:v>
      </x:c>
      <x:c r="G2" s="27" t="str">
        <x:v>numpy; Pillow/OpenCV; imagens da raiz</x:v>
      </x:c>
      <x:c r="H2" s="27" t="str">
        <x:v>C:\Users\Labvis\Downloads\imagens3120\implementações\testes\visual_features_v4_plot_area_v6.py</x:v>
      </x:c>
      <x:c r="I2" s="27" t="str">
        <x:v>python "visual_features_v4_plot_area_v6.py"</x:v>
      </x:c>
      <x:c r="J2" s="27" t="str">
        <x:v>Não localizado nos resumos preservados.</x:v>
      </x:c>
      <x:c r="K2" s="27" t="str">
        <x:v>OK</x:v>
      </x:c>
    </x:row>
    <x:row r="3">
      <x:c r="A3" s="27" t="str">
        <x:v>CV-02</x:v>
      </x:c>
      <x:c r="B3" s="27" t="str">
        <x:v>Presença dos eixos</x:v>
      </x:c>
      <x:c r="C3" s="27" t="str">
        <x:v>axis_conformity_calibration_v3.py</x:v>
      </x:c>
      <x:c r="D3" s="27" t="str">
        <x:v>V3</x:v>
      </x:c>
      <x:c r="E3" s="27" t="str">
        <x:v>CONGELADO</x:v>
      </x:c>
      <x:c r="F3" s="27" t="str">
        <x:v>Detectar geometricamente os eixos X e Y, sem usar cor normativa como critério final.</x:v>
      </x:c>
      <x:c r="G3" s="27" t="str">
        <x:v>visual_features_v4_plot_area_v6.py</x:v>
      </x:c>
      <x:c r="H3" s="27" t="str">
        <x:v>C:\Users\Labvis\Downloads\imagens3120\axis_conformity_calibration_v3.py</x:v>
      </x:c>
      <x:c r="I3" s="27" t="str">
        <x:v>python "axis_conformity_calibration_v3.py"</x:v>
      </x:c>
      <x:c r="J3" s="27" t="str">
        <x:v>1582555adf23d8ed2a6b23e89eaefdcd317d0e11a2f7d361fbd69c6258866bfe</x:v>
      </x:c>
      <x:c r="K3" s="27" t="str">
        <x:v>OK</x:v>
      </x:c>
    </x:row>
    <x:row r="4">
      <x:c r="A4" s="27" t="str">
        <x:v>CV-03</x:v>
      </x:c>
      <x:c r="B4" s="27" t="str">
        <x:v>Presença dos eixos</x:v>
      </x:c>
      <x:c r="C4" s="27" t="str">
        <x:v>Wrapper de produção V5.1 (nome do .py não localizado)</x:v>
      </x:c>
      <x:c r="D4" s="27" t="str">
        <x:v>V5.1</x:v>
      </x:c>
      <x:c r="E4" s="27" t="str">
        <x:v>PRODUÇÃO FINAL</x:v>
      </x:c>
      <x:c r="F4" s="27" t="str">
        <x:v>Aplicar o detector V3 congelado às 3.120 imagens e consolidar o estado de presença dos eixos.</x:v>
      </x:c>
      <x:c r="G4" s="27" t="str">
        <x:v>axis_conformity_calibration_v3.py; experimental_unit_crosswalk_v3.csv</x:v>
      </x:c>
      <x:c r="H4" s="27" t="str">
        <x:v>C:\Users\Labvis\Downloads\imagens3120\imagens\_axis_presence_full_v5_1</x:v>
      </x:c>
      <x:c r="I4" s="27" t="str">
        <x:v>CONFIRMAR nome do wrapper antes do depósito.</x:v>
      </x:c>
      <x:c r="J4" s="27" t="str">
        <x:v>Detector V3: 1582555adf23d8ed2a6b23e89eaefdcd317d0e11a2f7d361fbd69c6258866bfe</x:v>
      </x:c>
      <x:c r="K4" s="27" t="str">
        <x:v>PARCIAL</x:v>
      </x:c>
    </x:row>
    <x:row r="5">
      <x:c r="A5" s="27" t="str">
        <x:v>CV-04</x:v>
      </x:c>
      <x:c r="B5" s="27" t="str">
        <x:v>Presença dos tick labels</x:v>
      </x:c>
      <x:c r="C5" s="27" t="str">
        <x:v>ticklabel_presence_calibration_v4.py</x:v>
      </x:c>
      <x:c r="D5" s="27" t="str">
        <x:v>V4</x:v>
      </x:c>
      <x:c r="E5" s="27" t="str">
        <x:v>CONGELADO</x:v>
      </x:c>
      <x:c r="F5" s="27" t="str">
        <x:v>Detectar presença de camadas textuais correspondentes aos tick labels X/Y sem interpretar seu conteúdo.</x:v>
      </x:c>
      <x:c r="G5" s="27" t="str">
        <x:v>axis_conformity_calibration_v3.py; visual_features_v4_plot_area_v6.py</x:v>
      </x:c>
      <x:c r="H5" s="27" t="str">
        <x:v>C:\Users\Labvis\Downloads\imagens3120\ticklabel_presence_calibration_v4.py</x:v>
      </x:c>
      <x:c r="I5" s="27" t="str">
        <x:v>python "ticklabel_presence_calibration_v4.py"</x:v>
      </x:c>
      <x:c r="J5" s="27" t="str">
        <x:v>d15c325290c7596632f9f4c62d907e7a78d0a794862b690c4c4691ed87ea86b2</x:v>
      </x:c>
      <x:c r="K5" s="27" t="str">
        <x:v>OK</x:v>
      </x:c>
    </x:row>
    <x:row r="6">
      <x:c r="A6" s="27" t="str">
        <x:v>CV-05</x:v>
      </x:c>
      <x:c r="B6" s="27" t="str">
        <x:v>Presença dos tick labels</x:v>
      </x:c>
      <x:c r="C6" s="27" t="str">
        <x:v>Processamento integral V5 (nome do wrapper .py não localizado)</x:v>
      </x:c>
      <x:c r="D6" s="27" t="str">
        <x:v>V5</x:v>
      </x:c>
      <x:c r="E6" s="27" t="str">
        <x:v>PRODUÇÃO FINAL + ADJUDICAÇÃO</x:v>
      </x:c>
      <x:c r="F6" s="27" t="str">
        <x:v>Aplicar/consolidar o detector congelado em 3.120 imagens e encaminhar todos os casos não-BOTH_PRESENT à revisão visual.</x:v>
      </x:c>
      <x:c r="G6" s="27" t="str">
        <x:v>ticklabel_presence_calibration_v4.py</x:v>
      </x:c>
      <x:c r="H6" s="27" t="str">
        <x:v>C:\Users\Labvis\Downloads\imagens3120\imagens\_ticklabel_presence_full_v5</x:v>
      </x:c>
      <x:c r="I6" s="27" t="str">
        <x:v>CONFIRMAR nome do wrapper antes do depósito.</x:v>
      </x:c>
      <x:c r="J6" s="27" t="str">
        <x:v>Detector V4: d15c325290c7596632f9f4c62d907e7a78d0a794862b690c4c4691ed87ea86b2</x:v>
      </x:c>
      <x:c r="K6" s="27" t="str">
        <x:v>PARCIAL</x:v>
      </x:c>
    </x:row>
    <x:row r="7">
      <x:c r="A7" s="27" t="str">
        <x:v>CV-06</x:v>
      </x:c>
      <x:c r="B7" s="27" t="str">
        <x:v>Presença da marca principal</x:v>
      </x:c>
      <x:c r="C7" s="27" t="str">
        <x:v>mark_presence_validation_v3.py</x:v>
      </x:c>
      <x:c r="D7" s="27" t="str">
        <x:v>V3</x:v>
      </x:c>
      <x:c r="E7" s="27" t="str">
        <x:v>CONGELADO</x:v>
      </x:c>
      <x:c r="F7" s="27" t="str">
        <x:v>Detectar barras, linhas ou pontos por geometria, contraste, alinhamento, espessura/forma e extensão espacial.</x:v>
      </x:c>
      <x:c r="G7" s="27" t="str">
        <x:v>Pillow; OpenCV; numpy; artefatos de canvas/cor apenas para seleção de calibração</x:v>
      </x:c>
      <x:c r="H7" s="27" t="str">
        <x:v>C:\Users\Labvis\Downloads\imagens3120\mark_presence_validation_v3.py</x:v>
      </x:c>
      <x:c r="I7" s="27" t="str">
        <x:v>python "mark_presence_validation_v3.py"</x:v>
      </x:c>
      <x:c r="J7" s="27" t="str">
        <x:v>8f33f4daa7e8f1cc8feba58e5ea5f80bc75639334f9e64cf6339408152bc78a2</x:v>
      </x:c>
      <x:c r="K7" s="27" t="str">
        <x:v>OK</x:v>
      </x:c>
    </x:row>
    <x:row r="8">
      <x:c r="A8" s="27" t="str">
        <x:v>CV-07</x:v>
      </x:c>
      <x:c r="B8" s="27" t="str">
        <x:v>Presença da marca principal</x:v>
      </x:c>
      <x:c r="C8" s="27" t="str">
        <x:v>Processamento final V5 (nome do wrapper .py não localizado)</x:v>
      </x:c>
      <x:c r="D8" s="27" t="str">
        <x:v>V5</x:v>
      </x:c>
      <x:c r="E8" s="27" t="str">
        <x:v>PRODUÇÃO FINAL</x:v>
      </x:c>
      <x:c r="F8" s="27" t="str">
        <x:v>Aplicar o detector V3 congelado às 3.120 imagens.</x:v>
      </x:c>
      <x:c r="G8" s="27" t="str">
        <x:v>mark_presence_validation_v3.py; crosswalk experimental</x:v>
      </x:c>
      <x:c r="H8" s="27" t="str">
        <x:v>C:\Users\Labvis\Downloads\imagens3120\imagens\_mark_presence_full_v5</x:v>
      </x:c>
      <x:c r="I8" s="27" t="str">
        <x:v>CONFIRMAR nome do wrapper antes do depósito.</x:v>
      </x:c>
      <x:c r="J8" s="27" t="str">
        <x:v>Detector: 8f33f4daa7e8f1cc8feba58e5ea5f80bc75639334f9e64cf6339408152bc78a2</x:v>
      </x:c>
      <x:c r="K8" s="27" t="str">
        <x:v>PARCIAL</x:v>
      </x:c>
    </x:row>
    <x:row r="9">
      <x:c r="A9" s="27" t="str">
        <x:v>CV-08</x:v>
      </x:c>
      <x:c r="B9" s="27" t="str">
        <x:v>Presença da marca / técnica</x:v>
      </x:c>
      <x:c r="C9" s="27" t="str">
        <x:v>audit_absent_chart_types_v1.py</x:v>
      </x:c>
      <x:c r="D9" s="27" t="str">
        <x:v>V1</x:v>
      </x:c>
      <x:c r="E9" s="27" t="str">
        <x:v>AUDITORIA</x:v>
      </x:c>
      <x:c r="F9" s="27" t="str">
        <x:v>Nos casos MARK_ABSENT, gerar candidatos de estrutura alternativa e pranchas para inspeção humana.</x:v>
      </x:c>
      <x:c r="G9" s="27" t="str">
        <x:v>mark_presence_validation_v3.py; mark_presence_images_v5.csv</x:v>
      </x:c>
      <x:c r="H9" s="27" t="str">
        <x:v>C:\Users\Labvis\Downloads\imagens3120\audit_absent_chart_types_v1.py</x:v>
      </x:c>
      <x:c r="I9" s="27" t="str">
        <x:v>python "audit_absent_chart_types_v1.py"</x:v>
      </x:c>
      <x:c r="J9" s="27" t="str">
        <x:v>Não localizado.</x:v>
      </x:c>
      <x:c r="K9" s="27" t="str">
        <x:v>OK</x:v>
      </x:c>
    </x:row>
    <x:row r="10">
      <x:c r="A10" s="27" t="str">
        <x:v>CV-09</x:v>
      </x:c>
      <x:c r="B10" s="27" t="str">
        <x:v>Conformidade de cor</x:v>
      </x:c>
      <x:c r="C10" s="27" t="str">
        <x:v>color_conformity_v4.py</x:v>
      </x:c>
      <x:c r="D10" s="27" t="str">
        <x:v>V4</x:v>
      </x:c>
      <x:c r="E10" s="27" t="str">
        <x:v>PRODUÇÃO / INTEGRAÇÃO CROMÁTICA</x:v>
      </x:c>
      <x:c r="F10" s="27" t="str">
        <x:v>Consolidar extrações específicas por técnica, parear cores observadas e produzir métricas cromáticas por imagem.</x:v>
      </x:c>
      <x:c r="G10" s="27" t="str">
        <x:v>validate_color_bars_core_v5.py; módulo L-Cor; validate_color_scatter_v7_markercore_final.py</x:v>
      </x:c>
      <x:c r="H10" s="27" t="str">
        <x:v>C:\Users\Labvis\Downloads\imagens3120\implementações\color_conformity_v4.py</x:v>
      </x:c>
      <x:c r="I10" s="27" t="str">
        <x:v>python "color_conformity_v4.py"</x:v>
      </x:c>
      <x:c r="J10" s="27" t="str">
        <x:v>Não localizado.</x:v>
      </x:c>
      <x:c r="K10" s="27" t="str">
        <x:v>OK</x:v>
      </x:c>
    </x:row>
    <x:row r="11">
      <x:c r="A11" s="27" t="str">
        <x:v>CV-10</x:v>
      </x:c>
      <x:c r="B11" s="27" t="str">
        <x:v>Conformidade de cor</x:v>
      </x:c>
      <x:c r="C11" s="27" t="str">
        <x:v>validate_color_bars_core_v5.py</x:v>
      </x:c>
      <x:c r="D11" s="27" t="str">
        <x:v>V5</x:v>
      </x:c>
      <x:c r="E11" s="27" t="str">
        <x:v>FINAL / PRODUÇÃO</x:v>
      </x:c>
      <x:c r="F11" s="27" t="str">
        <x:v>Extrair cor no núcleo das barras, reduzindo bordas, antialiasing e artefatos.</x:v>
      </x:c>
      <x:c r="G11" s="27" t="str">
        <x:v>OpenCV/numpy; orquestrador de cor</x:v>
      </x:c>
      <x:c r="H11" s="27" t="str">
        <x:v>C:\Users\Labvis\Downloads\imagens3120\implementações\validate_color_bars_core_v5.py</x:v>
      </x:c>
      <x:c r="I11" s="27" t="str">
        <x:v>python "validate_color_bars_core_v5.py"</x:v>
      </x:c>
      <x:c r="J11" s="27" t="str">
        <x:v>Não localizado.</x:v>
      </x:c>
      <x:c r="K11" s="27" t="str">
        <x:v>OK</x:v>
      </x:c>
    </x:row>
    <x:row r="12">
      <x:c r="A12" s="27" t="str">
        <x:v>CV-11</x:v>
      </x:c>
      <x:c r="B12" s="27" t="str">
        <x:v>Conformidade de cor</x:v>
      </x:c>
      <x:c r="C12" s="27" t="str">
        <x:v>L-Cor V4 (arquivo físico final a confirmar; inventário preserva validate_color_lines_v3.py)</x:v>
      </x:c>
      <x:c r="D12" s="27" t="str">
        <x:v>V4</x:v>
      </x:c>
      <x:c r="E12" s="27" t="str">
        <x:v>FINAL METODOLÓGICO / NOME A CONFIRMAR</x:v>
      </x:c>
      <x:c r="F12" s="27" t="str">
        <x:v>Detectar famílias cromáticas de linhas com suporte espacial em X e separar famílias derivadas de sobreposição.</x:v>
      </x:c>
      <x:c r="G12" s="27" t="str">
        <x:v>orquestrador de cor; extração de famílias cromáticas</x:v>
      </x:c>
      <x:c r="H12" s="27" t="str">
        <x:v>C:\Users\Labvis\Downloads\imagens3120\implementações\color_conformity_package\validate_color_lines_v3.py</x:v>
      </x:c>
      <x:c r="I12" s="27" t="str">
        <x:v>CONFIRMAR nome físico do script final de linhas.</x:v>
      </x:c>
      <x:c r="J12" s="27" t="str">
        <x:v>Não localizado.</x:v>
      </x:c>
      <x:c r="K12" s="27" t="str">
        <x:v>CONFIRMAR</x:v>
      </x:c>
    </x:row>
    <x:row r="13">
      <x:c r="A13" s="27" t="str">
        <x:v>CV-12</x:v>
      </x:c>
      <x:c r="B13" s="27" t="str">
        <x:v>Conformidade de cor</x:v>
      </x:c>
      <x:c r="C13" s="27" t="str">
        <x:v>validate_color_scatter_v7_markercore_final.py</x:v>
      </x:c>
      <x:c r="D13" s="27" t="str">
        <x:v>V7</x:v>
      </x:c>
      <x:c r="E13" s="27" t="str">
        <x:v>FINAL / PRODUÇÃO</x:v>
      </x:c>
      <x:c r="F13" s="27" t="str">
        <x:v>Detectar marcadores primeiro e estimar a cor no núcleo dos pontos, reduzindo grade, antialiasing e bordas.</x:v>
      </x:c>
      <x:c r="G13" s="27" t="str">
        <x:v>OpenCV/numpy; orquestrador de cor</x:v>
      </x:c>
      <x:c r="H13" s="27" t="str">
        <x:v>C:\Users\Labvis\Downloads\imagens3120\implementações\validate_color_scatter_v7_markercore_final.py</x:v>
      </x:c>
      <x:c r="I13" s="27" t="str">
        <x:v>python "validate_color_scatter_v7_markercore_final.py"</x:v>
      </x:c>
      <x:c r="J13" s="27" t="str">
        <x:v>Não localizado.</x:v>
      </x:c>
      <x:c r="K13" s="27" t="str">
        <x:v>OK</x:v>
      </x:c>
    </x:row>
    <x:row r="14">
      <x:c r="A14" s="27" t="str">
        <x:v>CV-13</x:v>
      </x:c>
      <x:c r="B14" s="27" t="str">
        <x:v>Conformidade de cor</x:v>
      </x:c>
      <x:c r="C14" s="27" t="str">
        <x:v>validate_color_scatter_holdout_v8.py</x:v>
      </x:c>
      <x:c r="D14" s="27" t="str">
        <x:v>V8</x:v>
      </x:c>
      <x:c r="E14" s="27" t="str">
        <x:v>HOLDOUT</x:v>
      </x:c>
      <x:c r="F14" s="27" t="str">
        <x:v>Validar independentemente o procedimento cromático de dispersão sem recalibrar a versão de produção.</x:v>
      </x:c>
      <x:c r="G14" s="27" t="str">
        <x:v>validate_color_scatter_v7_markercore_final.py</x:v>
      </x:c>
      <x:c r="H14" s="27" t="str">
        <x:v>C:\Users\Labvis\Downloads\imagens3120\implementações\validate_color_scatter_holdout_v8.py</x:v>
      </x:c>
      <x:c r="I14" s="27" t="str">
        <x:v>python "validate_color_scatter_holdout_v8.py"</x:v>
      </x:c>
      <x:c r="J14" s="27" t="str">
        <x:v>Não localizado.</x:v>
      </x:c>
      <x:c r="K14" s="27" t="str">
        <x:v>OK</x:v>
      </x:c>
    </x:row>
    <x:row r="15">
      <x:c r="A15" s="27" t="str">
        <x:v>CV-14</x:v>
      </x:c>
      <x:c r="B15" s="27" t="str">
        <x:v>Conformidade de cor</x:v>
      </x:c>
      <x:c r="C15" s="27" t="str">
        <x:v>color_postprocess_config_used.json + color_conformity_final_v1</x:v>
      </x:c>
      <x:c r="D15" s="27" t="str">
        <x:v>V1 final</x:v>
      </x:c>
      <x:c r="E15" s="27" t="str">
        <x:v>FINAL</x:v>
      </x:c>
      <x:c r="F15" s="27" t="str">
        <x:v>Aplicar a regra operacional ΔE00≤2 e consolidar MATCH, COLOR_DEVIATION, MISSING_COLOR, EXTRA_COLOR, INTERNAL_VARIATION e NO_MARK.</x:v>
      </x:c>
      <x:c r="G15" s="27" t="str">
        <x:v>Saídas de color_conformity_v4 e módulos específicos</x:v>
      </x:c>
      <x:c r="H15" s="27" t="str">
        <x:v>C:\Users\Labvis\Downloads\imagens3120\imagens\_color_conformity_final_v1</x:v>
      </x:c>
      <x:c r="I15" s="27" t="str">
        <x:v>Arquivo de configuração; carregado pelo pós-processamento.</x:v>
      </x:c>
      <x:c r="J15" s="27" t="str">
        <x:v>N/A (configuração)</x:v>
      </x:c>
      <x:c r="K15" s="27" t="str">
        <x:v>OK</x:v>
      </x:c>
    </x:row>
    <x:row r="16">
      <x:c r="A16" s="27" t="str">
        <x:v>CV-15</x:v>
      </x:c>
      <x:c r="B16" s="27" t="str">
        <x:v>Conteúdo dos tick labels</x:v>
      </x:c>
      <x:c r="C16" s="27" t="str">
        <x:v>ticklabel_content_extraction_calibration_ba_v7.py</x:v>
      </x:c>
      <x:c r="D16" s="27" t="str">
        <x:v>V7</x:v>
      </x:c>
      <x:c r="E16" s="27" t="str">
        <x:v>CONGELADO</x:v>
      </x:c>
      <x:c r="F16" s="27" t="str">
        <x:v>Extrair o conteúdo visível dos tick labels numéricos e temporais, preservando incerteza e sem consultar F.</x:v>
      </x:c>
      <x:c r="G16" s="27" t="str">
        <x:v>ticklabel_presence_calibration_v4.py; axis_conformity_calibration_v3.py; visual_features_v4_plot_area_v6.py; Tesseract por+eng</x:v>
      </x:c>
      <x:c r="H16" s="27" t="str">
        <x:v>C:\Users\Labvis\Downloads\imagens3120\ticklabel_content_extraction_calibration_ba_v7.py</x:v>
      </x:c>
      <x:c r="I16" s="27" t="str">
        <x:v>python "ticklabel_content_extraction_calibration_ba_v7.py"</x:v>
      </x:c>
      <x:c r="J16" s="27" t="str">
        <x:v>21423b59ce40eb351693f00b6a197936d936fe53131467f47c1031da864fd688</x:v>
      </x:c>
      <x:c r="K16" s="27" t="str">
        <x:v>OK</x:v>
      </x:c>
    </x:row>
    <x:row r="17">
      <x:c r="A17" s="27" t="str">
        <x:v>CV-16</x:v>
      </x:c>
      <x:c r="B17" s="27" t="str">
        <x:v>Conteúdo dos tick labels</x:v>
      </x:c>
      <x:c r="C17" s="27" t="str">
        <x:v>ticklabel_content_extraction_holdout_ba_v7_frozen.py</x:v>
      </x:c>
      <x:c r="D17" s="27" t="str">
        <x:v>V7 frozen</x:v>
      </x:c>
      <x:c r="E17" s="27" t="str">
        <x:v>HOLDOUT INDEPENDENTE</x:v>
      </x:c>
      <x:c r="F17" s="27" t="str">
        <x:v>Validar a extração B-A V7 sem reajuste e sem comparar com F.</x:v>
      </x:c>
      <x:c r="G17" s="27" t="str">
        <x:v>ticklabel_content_extraction_calibration_ba_v7.py; ticklabel_presence_calibration_v4.py; crosswalk V3</x:v>
      </x:c>
      <x:c r="H17" s="27" t="str">
        <x:v>C:\Users\Labvis\Downloads\imagens3120\ticklabel_content_extraction_holdout_ba_v7_frozen.py</x:v>
      </x:c>
      <x:c r="I17" s="27" t="str">
        <x:v>python "ticklabel_content_extraction_holdout_ba_v7_frozen.py"</x:v>
      </x:c>
      <x:c r="J17" s="27" t="str">
        <x:v>ebadeafb4c6a956bb0ca5741eb6de5a15dc0487336a9780620ad0768b907913e</x:v>
      </x:c>
      <x:c r="K17" s="27" t="str">
        <x:v>OK</x:v>
      </x:c>
    </x:row>
    <x:row r="18">
      <x:c r="A18" s="27" t="str">
        <x:v>CV-17</x:v>
      </x:c>
      <x:c r="B18" s="27" t="str">
        <x:v>Conteúdo dos tick labels</x:v>
      </x:c>
      <x:c r="C18" s="27" t="str">
        <x:v>ticklabel_content_extraction_production_ba_v7_frozen.py</x:v>
      </x:c>
      <x:c r="D18" s="27" t="str">
        <x:v>V7 frozen</x:v>
      </x:c>
      <x:c r="E18" s="27" t="str">
        <x:v>PRODUÇÃO FINAL B-A</x:v>
      </x:c>
      <x:c r="F18" s="27" t="str">
        <x:v>Executar o extrator congelado nas 3.120 imagens, sem F, e gerar dados observados por eixo/label.</x:v>
      </x:c>
      <x:c r="G18" s="27" t="str">
        <x:v>B-A V7; presence V4; axis V3; Tesseract 5.4.0.20240606 por+eng</x:v>
      </x:c>
      <x:c r="H18" s="27" t="str">
        <x:v>C:\Users\Labvis\Downloads\imagens3120\imagens\_ticklabel_content_extraction_production_ba_v7_frozen</x:v>
      </x:c>
      <x:c r="I18" s="27" t="str">
        <x:v>python "ticklabel_content_extraction_production_ba_v7_frozen.py"</x:v>
      </x:c>
      <x:c r="J18" s="27" t="str">
        <x:v>Dependência B-A V7: 21423b59ce40eb351693f00b6a197936d936fe53131467f47c1031da864fd688</x:v>
      </x:c>
      <x:c r="K18" s="27" t="str">
        <x:v>OK</x:v>
      </x:c>
    </x:row>
    <x:row r="19">
      <x:c r="A19" s="27" t="str">
        <x:v>CV-18</x:v>
      </x:c>
      <x:c r="B19" s="27" t="str">
        <x:v>Conteúdo categórico</x:v>
      </x:c>
      <x:c r="C19" s="27" t="str">
        <x:v>ticklabel_categorical_extraction_calibration_ba_cat_v9.py</x:v>
      </x:c>
      <x:c r="D19" s="27" t="str">
        <x:v>V9</x:v>
      </x:c>
      <x:c r="E19" s="27" t="str">
        <x:v>CONGELADO</x:v>
      </x:c>
      <x:c r="F19" s="27" t="str">
        <x:v>Extrair categorias observadas em BI/BC por orientação, slots e consenso de OCR, sem receber categorias esperadas, contagem esperada ou ordem.</x:v>
      </x:c>
      <x:c r="G19" s="27" t="str">
        <x:v>B-A V7; presence V4; Tesseract por+eng</x:v>
      </x:c>
      <x:c r="H19" s="27" t="str">
        <x:v>C:\Users\Labvis\Downloads\imagens3120\ticklabel_categorical_extraction_calibration_ba_cat_v9.py</x:v>
      </x:c>
      <x:c r="I19" s="27" t="str">
        <x:v>python "ticklabel_categorical_extraction_calibration_ba_cat_v9.py"</x:v>
      </x:c>
      <x:c r="J19" s="27" t="str">
        <x:v>65d29b4c1aaad4e054922e37b0cb5496084520fd31b1977bc1d003d9fd2fc5e9</x:v>
      </x:c>
      <x:c r="K19" s="27" t="str">
        <x:v>OK</x:v>
      </x:c>
    </x:row>
    <x:row r="20">
      <x:c r="A20" s="27" t="str">
        <x:v>CV-19</x:v>
      </x:c>
      <x:c r="B20" s="27" t="str">
        <x:v>Conteúdo categórico</x:v>
      </x:c>
      <x:c r="C20" s="27" t="str">
        <x:v>Wrapper de holdout CAT V9 congelada (nome exato do .py não localizado)</x:v>
      </x:c>
      <x:c r="D20" s="27" t="str">
        <x:v>V9</x:v>
      </x:c>
      <x:c r="E20" s="27" t="str">
        <x:v>HOLDOUT INDEPENDENTE</x:v>
      </x:c>
      <x:c r="F20" s="27" t="str">
        <x:v>Executar V9 sem ajuste em 40 imagens novas, excluindo calibração e primeiro holdout B-A.</x:v>
      </x:c>
      <x:c r="G20" s="27" t="str">
        <x:v>CAT V9; B-A V7; presence V4</x:v>
      </x:c>
      <x:c r="H20" s="27" t="str">
        <x:v>C:\Users\Labvis\Downloads\imagens3120\imagens\_ba_cat_v9_holdout</x:v>
      </x:c>
      <x:c r="I20" s="27" t="str">
        <x:v>Executado por wrapper/orquestrador; confirmar comando final.</x:v>
      </x:c>
      <x:c r="J20" s="27" t="str">
        <x:v>CAT V9: 65d29b4c1aaad4e054922e37b0cb5496084520fd31b1977bc1d003d9fd2fc5e9</x:v>
      </x:c>
      <x:c r="K20" s="27" t="str">
        <x:v>PARCIAL</x:v>
      </x:c>
    </x:row>
    <x:row r="21">
      <x:c r="A21" s="27" t="str">
        <x:v>CV-20</x:v>
      </x:c>
      <x:c r="B21" s="27" t="str">
        <x:v>Comparação B-B</x:v>
      </x:c>
      <x:c r="C21" s="27" t="str">
        <x:v>B_B_NORMALIZATION_V1.xlsx / B_B_NORMALIZATION_V1.json</x:v>
      </x:c>
      <x:c r="D21" s="27" t="str">
        <x:v>V1</x:v>
      </x:c>
      <x:c r="E21" s="27" t="str">
        <x:v>CONGELADO</x:v>
      </x:c>
      <x:c r="F21" s="27" t="str">
        <x:v>Definir normalizações e equivalências benignas para comparar conteúdo observado e especificado sem fuzzy matching aberto.</x:v>
      </x:c>
      <x:c r="G21" s="27" t="str">
        <x:v>F_MASTER; resultados B-A</x:v>
      </x:c>
      <x:c r="H21" s="27" t="str">
        <x:v>C:\Users\Labvis\Downloads\imagens3120\B_B_NORMALIZATION_V1.xlsx</x:v>
      </x:c>
      <x:c r="I21" s="27" t="str">
        <x:v>Arquivo de configuração; carregado pelo pós-processamento.</x:v>
      </x:c>
      <x:c r="J21" s="27" t="str">
        <x:v>N/A</x:v>
      </x:c>
      <x:c r="K21" s="27" t="str">
        <x:v>OK</x:v>
      </x:c>
    </x:row>
    <x:row r="22">
      <x:c r="A22" s="27" t="str">
        <x:v>CV-23</x:v>
      </x:c>
      <x:c r="B22" s="27" t="str">
        <x:v>Técnica gráfica</x:v>
      </x:c>
      <x:c r="C22" s="27" t="str">
        <x:v>chart_type_exclusive_holdout_v2.py</x:v>
      </x:c>
      <x:c r="D22" s="27" t="str">
        <x:v>V2</x:v>
      </x:c>
      <x:c r="E22" s="27" t="str">
        <x:v>HOLDOUT INDEPENDENTE</x:v>
      </x:c>
      <x:c r="F22" s="27" t="str">
        <x:v>Classificar cada imagem em uma única classe BAR, LINE, SCATTER ou OTHER sem usar a técnica esperada para escolher a classe.</x:v>
      </x:c>
      <x:c r="G22" s="27" t="str">
        <x:v>mark_presence_validation_v3.py</x:v>
      </x:c>
      <x:c r="H22" s="27" t="str">
        <x:v>C:\Users\Labvis\Downloads\imagens3120\chart_type_exclusive_holdout_v2.py</x:v>
      </x:c>
      <x:c r="I22" s="27" t="str">
        <x:v>python "chart_type_exclusive_holdout_v2.py"</x:v>
      </x:c>
      <x:c r="J22" s="27" t="str">
        <x:v>Não localizado.</x:v>
      </x:c>
      <x:c r="K22" s="27" t="str">
        <x:v>OK</x:v>
      </x:c>
    </x:row>
    <x:row r="23">
      <x:c r="A23" s="27" t="str">
        <x:v>CV-24</x:v>
      </x:c>
      <x:c r="B23" s="27" t="str">
        <x:v>Técnica gráfica</x:v>
      </x:c>
      <x:c r="C23" s="27" t="str">
        <x:v>chart_type_exclusive_production_v2_frozen.py</x:v>
      </x:c>
      <x:c r="D23" s="27" t="str">
        <x:v>V2 frozen</x:v>
      </x:c>
      <x:c r="E23" s="27" t="str">
        <x:v>PRODUÇÃO FINAL B-A</x:v>
      </x:c>
      <x:c r="F23" s="27" t="str">
        <x:v>Aplicar às 3.120 imagens as regras exclusivas congeladas, sem F, sem profile e sem expected_type na classificação.</x:v>
      </x:c>
      <x:c r="G23" s="27" t="str">
        <x:v>mark_presence_validation_v3.py</x:v>
      </x:c>
      <x:c r="H23" s="27" t="str">
        <x:v>C:\Users\Labvis\Downloads\imagens3120\chart_type_exclusive_production_v2_frozen.py</x:v>
      </x:c>
      <x:c r="I23" s="27" t="str">
        <x:v>python "chart_type_exclusive_production_v2_frozen.py"</x:v>
      </x:c>
      <x:c r="J23" s="27" t="str">
        <x:v>SHA do script não localizado; dependência V3 = 8f33f4daa7e8f1cc8feba58e5ea5f80bc75639334f9e64cf6339408152bc78a2</x:v>
      </x:c>
      <x:c r="K23" s="27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a801c1ee1d674c2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6" hidden="0" customWidth="1"/>
    <x:col min="4" max="4" width="38" hidden="0" customWidth="1"/>
    <x:col min="5" max="5" width="48" hidden="0" customWidth="1"/>
    <x:col min="6" max="6" width="40" hidden="0" customWidth="1"/>
    <x:col min="7" max="7" width="14" hidden="0" customWidth="1"/>
    <x:col min="8" max="8" width="38" hidden="0" customWidth="1"/>
  </x:cols>
  <x:sheetData>
    <x:row r="1">
      <x:c r="A1" s="22" t="str">
        <x:v>Ordem</x:v>
      </x:c>
      <x:c r="B1" s="22" t="str">
        <x:v>Fase</x:v>
      </x:c>
      <x:c r="C1" s="22" t="str">
        <x:v>Componente principal</x:v>
      </x:c>
      <x:c r="D1" s="22" t="str">
        <x:v>Entrada</x:v>
      </x:c>
      <x:c r="E1" s="22" t="str">
        <x:v>Processamento</x:v>
      </x:c>
      <x:c r="F1" s="22" t="str">
        <x:v>Saída para a próxima fase</x:v>
      </x:c>
      <x:c r="G1" s="22" t="str">
        <x:v>Consulta F?</x:v>
      </x:c>
      <x:c r="H1" s="22" t="str">
        <x:v>Resultado final associado</x:v>
      </x:c>
    </x:row>
    <x:row r="2">
      <x:c r="A2" s="27" t="n">
        <x:v>1</x:v>
      </x:c>
      <x:c r="B2" s="27" t="str">
        <x:v>Preparação</x:v>
      </x:c>
      <x:c r="C2" s="27" t="str">
        <x:v>Crosswalk experimental V3</x:v>
      </x:c>
      <x:c r="D2" s="27" t="str">
        <x:v>3.120 PNG + 312 unidades + desenho experimental</x:v>
      </x:c>
      <x:c r="E2" s="27" t="str">
        <x:v>Mapeia filename, perfil, repetição, participante, condição, técnica e tarefa</x:v>
      </x:c>
      <x:c r="F2" s="27" t="str">
        <x:v>Chaves experimentais estáveis por imagem/unidade</x:v>
      </x:c>
      <x:c r="G2" s="27" t="str">
        <x:v>Não</x:v>
      </x:c>
      <x:c r="H2" s="27" t="str">
        <x:v>Base comum do pipeline</x:v>
      </x:c>
    </x:row>
    <x:row r="3">
      <x:c r="A3" s="27" t="n">
        <x:v>2</x:v>
      </x:c>
      <x:c r="B3" s="27" t="str">
        <x:v>Especificação normativa</x:v>
      </x:c>
      <x:c r="C3" s="27" t="str">
        <x:v>F_MASTER_V4_TICK_SCOPE_ADJUDICATED.xlsx</x:v>
      </x:c>
      <x:c r="D3" s="27" t="str">
        <x:v>Regras gerais + condição + prompt da unidade</x:v>
      </x:c>
      <x:c r="E3" s="27" t="str">
        <x:v>Compõe F_i = F_COMMON ⊕ F_CONDITION(i) ⊕ F_UNIT_PROMPT(i)</x:v>
      </x:c>
      <x:c r="F3" s="27" t="str">
        <x:v>Requisitos normativos por atributo/unidade</x:v>
      </x:c>
      <x:c r="G3" s="27" t="str">
        <x:v>É F</x:v>
      </x:c>
      <x:c r="H3" s="27" t="str">
        <x:v>Fonte de verdade normativa</x:v>
      </x:c>
    </x:row>
    <x:row r="4">
      <x:c r="A4" s="27" t="n">
        <x:v>3</x:v>
      </x:c>
      <x:c r="B4" s="27" t="str">
        <x:v>B-A estrutural</x:v>
      </x:c>
      <x:c r="C4" s="27" t="str">
        <x:v>Área de plotagem / eixos / marca / presença de tick labels</x:v>
      </x:c>
      <x:c r="D4" s="27" t="str">
        <x:v>Imagem PNG</x:v>
      </x:c>
      <x:c r="E4" s="27" t="str">
        <x:v>Extrai apenas o que está visível/estrutural na imagem</x:v>
      </x:c>
      <x:c r="F4" s="27" t="str">
        <x:v>Estados observados e regiões candidatas</x:v>
      </x:c>
      <x:c r="G4" s="27" t="str">
        <x:v>Não</x:v>
      </x:c>
      <x:c r="H4" s="27" t="str">
        <x:v>Mark, Axis, Tick-label presence</x:v>
      </x:c>
    </x:row>
    <x:row r="5">
      <x:c r="A5" s="27" t="n">
        <x:v>4</x:v>
      </x:c>
      <x:c r="B5" s="27" t="str">
        <x:v>B-A cromático</x:v>
      </x:c>
      <x:c r="C5" s="27" t="str">
        <x:v>Módulos de barras, linhas e dispersão</x:v>
      </x:c>
      <x:c r="D5" s="27" t="str">
        <x:v>Imagem PNG + regiões/marcas</x:v>
      </x:c>
      <x:c r="E5" s="27" t="str">
        <x:v>Extrai famílias cromáticas/cores-base e métricas contínuas</x:v>
      </x:c>
      <x:c r="F5" s="27" t="str">
        <x:v>Cores observadas + Dmean/Dmax e diagnósticos</x:v>
      </x:c>
      <x:c r="G5" s="27" t="str">
        <x:v>Não durante descoberta</x:v>
      </x:c>
      <x:c r="H5" s="27" t="str">
        <x:v>Base para B-B de cor</x:v>
      </x:c>
    </x:row>
    <x:row r="6">
      <x:c r="A6" s="27" t="n">
        <x:v>5</x:v>
      </x:c>
      <x:c r="B6" s="27" t="str">
        <x:v>B-A textual</x:v>
      </x:c>
      <x:c r="C6" s="27" t="str">
        <x:v>B-A V7 + B-A-CAT V9</x:v>
      </x:c>
      <x:c r="D6" s="27" t="str">
        <x:v>Imagem PNG + regiões dos eixos</x:v>
      </x:c>
      <x:c r="E6" s="27" t="str">
        <x:v>OCR/estrutura para recuperar tick labels visíveis, preservando ambiguidade</x:v>
      </x:c>
      <x:c r="F6" s="27" t="str">
        <x:v>Conteúdo observado numérico, temporal e categórico</x:v>
      </x:c>
      <x:c r="G6" s="27" t="str">
        <x:v>Não</x:v>
      </x:c>
      <x:c r="H6" s="27" t="str">
        <x:v>Base para B-B de conteúdo</x:v>
      </x:c>
    </x:row>
    <x:row r="7">
      <x:c r="A7" s="27" t="n">
        <x:v>6</x:v>
      </x:c>
      <x:c r="B7" s="27" t="str">
        <x:v>B-A técnica</x:v>
      </x:c>
      <x:c r="C7" s="27" t="str">
        <x:v>chart_type_exclusive_production_v2_frozen.py</x:v>
      </x:c>
      <x:c r="D7" s="27" t="str">
        <x:v>Imagem PNG + descritores V3</x:v>
      </x:c>
      <x:c r="E7" s="27" t="str">
        <x:v>Classifica BAR/LINE/SCATTER/OTHER sem expected_type</x:v>
      </x:c>
      <x:c r="F7" s="27" t="str">
        <x:v>Técnica observada</x:v>
      </x:c>
      <x:c r="G7" s="27" t="str">
        <x:v>Não</x:v>
      </x:c>
      <x:c r="H7" s="27" t="str">
        <x:v>Base para B-B de técnica</x:v>
      </x:c>
    </x:row>
    <x:row r="8">
      <x:c r="A8" s="27" t="n">
        <x:v>7</x:v>
      </x:c>
      <x:c r="B8" s="27" t="str">
        <x:v>B-B normalização</x:v>
      </x:c>
      <x:c r="C8" s="27" t="str">
        <x:v>B_B_NORMALIZATION_V1</x:v>
      </x:c>
      <x:c r="D8" s="27" t="str">
        <x:v>Conteúdo observado + F</x:v>
      </x:c>
      <x:c r="E8" s="27" t="str">
        <x:v>Aplica equivalências benignas pré-especificadas, sem fuzzy aberto</x:v>
      </x:c>
      <x:c r="F8" s="27" t="str">
        <x:v>Valores/textos comparáveis</x:v>
      </x:c>
      <x:c r="G8" s="27" t="str">
        <x:v>Sim</x:v>
      </x:c>
      <x:c r="H8" s="27" t="str">
        <x:v>Evita falsos erros por formatação</x:v>
      </x:c>
    </x:row>
    <x:row r="9">
      <x:c r="A9" s="27" t="n">
        <x:v>8</x:v>
      </x:c>
      <x:c r="B9" s="27" t="str">
        <x:v>B-B por dimensão</x:v>
      </x:c>
      <x:c r="C9" s="27" t="str">
        <x:v>Comparadores/adjudicações finais</x:v>
      </x:c>
      <x:c r="D9" s="27" t="str">
        <x:v>Resultados B-A + F</x:v>
      </x:c>
      <x:c r="E9" s="27" t="str">
        <x:v>Classifica CONFORMING/NONCONFORMING/UNEVALUABLE/NOT_APPLICABLE</x:v>
      </x:c>
      <x:c r="F9" s="27" t="str">
        <x:v>Estado final por dimensão</x:v>
      </x:c>
      <x:c r="G9" s="27" t="str">
        <x:v>Sim</x:v>
      </x:c>
      <x:c r="H9" s="27" t="str">
        <x:v>Seis dimensões normativas</x:v>
      </x:c>
    </x:row>
    <x:row r="10">
      <x:c r="A10" s="27" t="n">
        <x:v>9</x:v>
      </x:c>
      <x:c r="B10" s="27" t="str">
        <x:v>Integração</x:v>
      </x:c>
      <x:c r="C10" s="27" t="str">
        <x:v>INTEGRACAO_CONFORMIDADE_VISUAL_MASTER_V4_FINAL.csv</x:v>
      </x:c>
      <x:c r="D10" s="27" t="str">
        <x:v>Estados finais das seis dimensões + crosswalk</x:v>
      </x:c>
      <x:c r="E10" s="27" t="str">
        <x:v>Aplica regra estrita: qualquer NC torna a imagem globalmente NC; U é preservado quando não há NC</x:v>
      </x:c>
      <x:c r="F10" s="27" t="str">
        <x:v>Uma linha final por imagem</x:v>
      </x:c>
      <x:c r="G10" s="27" t="str">
        <x:v>Sim</x:v>
      </x:c>
      <x:c r="H10" s="27" t="str">
        <x:v>2676 C; 405 NC; 19 U; 20 spec-conflict</x:v>
      </x:c>
    </x:row>
    <x:row r="11">
      <x:c r="A11" s="27" t="n">
        <x:v>10</x:v>
      </x:c>
      <x:c r="B11" s="27" t="str">
        <x:v>Análise experimental</x:v>
      </x:c>
      <x:c r="C11" s="27" t="str">
        <x:v>Agregações por condição, técnica, tarefa e participante</x:v>
      </x:c>
      <x:c r="D11" s="27" t="str">
        <x:v>Master final</x:v>
      </x:c>
      <x:c r="E11" s="27" t="str">
        <x:v>Calcula taxas e testes de medidas repetidas</x:v>
      </x:c>
      <x:c r="F11" s="27" t="str">
        <x:v>Tabelas/resultados do capítulo 6</x:v>
      </x:c>
      <x:c r="G11" s="27" t="str">
        <x:v>Não redefine F</x:v>
      </x:c>
      <x:c r="H11" s="27" t="str">
        <x:v>Taxa global estrita 86,85%</x:v>
      </x:c>
    </x:row>
  </x:sheetData>
  <x:pageMargins left="0.7" right="0.7" top="0.75" bottom="0.75" header="0.3" footer="0.3"/>
  <x:tableParts count="1">
    <x:tablePart xmlns:r="http://schemas.openxmlformats.org/officeDocument/2006/relationships" r:id="R4977ed96f36744d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6" hidden="0" customWidth="1"/>
    <x:col min="3" max="3" width="24" hidden="0" customWidth="1"/>
    <x:col min="4" max="4" width="26" hidden="0" customWidth="1"/>
    <x:col min="5" max="5" width="48" hidden="0" customWidth="1"/>
    <x:col min="6" max="6" width="14" hidden="0" customWidth="1"/>
    <x:col min="7" max="7" width="42" hidden="0" customWidth="1"/>
  </x:cols>
  <x:sheetData>
    <x:row r="1">
      <x:c r="A1" s="22" t="str">
        <x:v>Prioridade</x:v>
      </x:c>
      <x:c r="B1" s="22" t="str">
        <x:v>Item a preservar</x:v>
      </x:c>
      <x:c r="C1" s="22" t="str">
        <x:v>Categoria</x:v>
      </x:c>
      <x:c r="D1" s="22" t="str">
        <x:v>Situação atual</x:v>
      </x:c>
      <x:c r="E1" s="22" t="str">
        <x:v>Ação antes do depósito</x:v>
      </x:c>
      <x:c r="F1" s="22" t="str">
        <x:v>Criticidade</x:v>
      </x:c>
      <x:c r="G1" s="22" t="str">
        <x:v>Observação</x:v>
      </x:c>
    </x:row>
    <x:row r="2">
      <x:c r="A2" s="27" t="str">
        <x:v>1</x:v>
      </x:c>
      <x:c r="B2" s="27" t="str">
        <x:v>F_MASTER_V4_TICK_SCOPE_ADJUDICATED.xlsx</x:v>
      </x:c>
      <x:c r="C2" s="27" t="str">
        <x:v>Especificação F</x:v>
      </x:c>
      <x:c r="D2" s="27" t="str">
        <x:v>Localizado/definido</x:v>
      </x:c>
      <x:c r="E2" s="27" t="str">
        <x:v>Copiar para pacote final e calcular SHA-256</x:v>
      </x:c>
      <x:c r="F2" s="27" t="str">
        <x:v>CRÍTICA</x:v>
      </x:c>
      <x:c r="G2" s="27" t="str">
        <x:v>Sem F não é possível reproduzir B-B.</x:v>
      </x:c>
    </x:row>
    <x:row r="3">
      <x:c r="A3" s="27" t="str">
        <x:v>2</x:v>
      </x:c>
      <x:c r="B3" s="27" t="str">
        <x:v>B_B_NORMALIZATION_V1.xlsx e .json</x:v>
      </x:c>
      <x:c r="C3" s="27" t="str">
        <x:v>Regra B-B</x:v>
      </x:c>
      <x:c r="D3" s="27" t="str">
        <x:v>Localizado/definido</x:v>
      </x:c>
      <x:c r="E3" s="27" t="str">
        <x:v>Copiar ambos e registrar hash</x:v>
      </x:c>
      <x:c r="F3" s="27" t="str">
        <x:v>CRÍTICA</x:v>
      </x:c>
      <x:c r="G3" s="27" t="str">
        <x:v>Congela equivalências usadas no julgamento.</x:v>
      </x:c>
    </x:row>
    <x:row r="4">
      <x:c r="A4" s="27" t="str">
        <x:v>3</x:v>
      </x:c>
      <x:c r="B4" s="27" t="str">
        <x:v>experimental_image_crosswalk_v3.csv e experimental_unit_crosswalk_v3.csv</x:v>
      </x:c>
      <x:c r="C4" s="27" t="str">
        <x:v>Metadados</x:v>
      </x:c>
      <x:c r="D4" s="27" t="str">
        <x:v>Localizado/definido</x:v>
      </x:c>
      <x:c r="E4" s="27" t="str">
        <x:v>Copiar e registrar hash</x:v>
      </x:c>
      <x:c r="F4" s="27" t="str">
        <x:v>CRÍTICA</x:v>
      </x:c>
      <x:c r="G4" s="27" t="str">
        <x:v>Mantém vínculo entre imagens e desenho experimental.</x:v>
      </x:c>
    </x:row>
    <x:row r="5">
      <x:c r="A5" s="27" t="str">
        <x:v>4</x:v>
      </x:c>
      <x:c r="B5" s="27" t="str">
        <x:v>mark_presence_validation_v3.py</x:v>
      </x:c>
      <x:c r="C5" s="27" t="str">
        <x:v>Código congelado</x:v>
      </x:c>
      <x:c r="D5" s="27" t="str">
        <x:v>Localizado</x:v>
      </x:c>
      <x:c r="E5" s="27" t="str">
        <x:v>Preservar arquivo com SHA-256 conhecido</x:v>
      </x:c>
      <x:c r="F5" s="27" t="str">
        <x:v>CRÍTICA</x:v>
      </x:c>
      <x:c r="G5" s="27" t="str">
        <x:v>SHA conhecido: 8f33f4...</x:v>
      </x:c>
    </x:row>
    <x:row r="6">
      <x:c r="A6" s="27" t="str">
        <x:v>5</x:v>
      </x:c>
      <x:c r="B6" s="27" t="str">
        <x:v>axis_conformity_calibration_v3.py</x:v>
      </x:c>
      <x:c r="C6" s="27" t="str">
        <x:v>Código congelado</x:v>
      </x:c>
      <x:c r="D6" s="27" t="str">
        <x:v>Localizado</x:v>
      </x:c>
      <x:c r="E6" s="27" t="str">
        <x:v>Preservar arquivo com SHA-256 conhecido</x:v>
      </x:c>
      <x:c r="F6" s="27" t="str">
        <x:v>CRÍTICA</x:v>
      </x:c>
      <x:c r="G6" s="27" t="str">
        <x:v>SHA conhecido: 158255...</x:v>
      </x:c>
    </x:row>
    <x:row r="7">
      <x:c r="A7" s="27" t="str">
        <x:v>6</x:v>
      </x:c>
      <x:c r="B7" s="27" t="str">
        <x:v>ticklabel_presence_calibration_v4.py</x:v>
      </x:c>
      <x:c r="C7" s="27" t="str">
        <x:v>Código congelado</x:v>
      </x:c>
      <x:c r="D7" s="27" t="str">
        <x:v>Localizado</x:v>
      </x:c>
      <x:c r="E7" s="27" t="str">
        <x:v>Preservar arquivo com SHA-256 conhecido</x:v>
      </x:c>
      <x:c r="F7" s="27" t="str">
        <x:v>CRÍTICA</x:v>
      </x:c>
      <x:c r="G7" s="27" t="str">
        <x:v>SHA conhecido: d15c32...</x:v>
      </x:c>
    </x:row>
    <x:row r="8">
      <x:c r="A8" s="27" t="str">
        <x:v>7</x:v>
      </x:c>
      <x:c r="B8" s="27" t="str">
        <x:v>ticklabel_content_extraction_calibration_ba_v7.py</x:v>
      </x:c>
      <x:c r="C8" s="27" t="str">
        <x:v>Código congelado</x:v>
      </x:c>
      <x:c r="D8" s="27" t="str">
        <x:v>Localizado</x:v>
      </x:c>
      <x:c r="E8" s="27" t="str">
        <x:v>Preservar arquivo com SHA-256 conhecido</x:v>
      </x:c>
      <x:c r="F8" s="27" t="str">
        <x:v>CRÍTICA</x:v>
      </x:c>
      <x:c r="G8" s="27" t="str">
        <x:v>SHA conhecido: 21423b...</x:v>
      </x:c>
    </x:row>
    <x:row r="9">
      <x:c r="A9" s="27" t="str">
        <x:v>8</x:v>
      </x:c>
      <x:c r="B9" s="27" t="str">
        <x:v>ticklabel_content_extraction_holdout_ba_v7_frozen.py</x:v>
      </x:c>
      <x:c r="C9" s="27" t="str">
        <x:v>Código holdout</x:v>
      </x:c>
      <x:c r="D9" s="27" t="str">
        <x:v>Localizado</x:v>
      </x:c>
      <x:c r="E9" s="27" t="str">
        <x:v>Preservar arquivo com SHA-256 conhecido</x:v>
      </x:c>
      <x:c r="F9" s="27" t="str">
        <x:v>ALTA</x:v>
      </x:c>
      <x:c r="G9" s="27" t="str">
        <x:v>Documenta validação independente.</x:v>
      </x:c>
    </x:row>
    <x:row r="10">
      <x:c r="A10" s="27" t="str">
        <x:v>9</x:v>
      </x:c>
      <x:c r="B10" s="27" t="str">
        <x:v>ticklabel_content_extraction_production_ba_v7_frozen.py</x:v>
      </x:c>
      <x:c r="C10" s="27" t="str">
        <x:v>Código produção</x:v>
      </x:c>
      <x:c r="D10" s="27" t="str">
        <x:v>Nome/documentação confirmados</x:v>
      </x:c>
      <x:c r="E10" s="27" t="str">
        <x:v>Confirmar arquivo físico e calcular SHA-256 do wrapper</x:v>
      </x:c>
      <x:c r="F10" s="27" t="str">
        <x:v>CRÍTICA</x:v>
      </x:c>
      <x:c r="G10" s="27" t="str">
        <x:v>Diretório e saídas finais estão documentados.</x:v>
      </x:c>
    </x:row>
    <x:row r="11">
      <x:c r="A11" s="27" t="str">
        <x:v>10</x:v>
      </x:c>
      <x:c r="B11" s="27" t="str">
        <x:v>ticklabel_categorical_extraction_calibration_ba_cat_v9.py</x:v>
      </x:c>
      <x:c r="C11" s="27" t="str">
        <x:v>Código congelado</x:v>
      </x:c>
      <x:c r="D11" s="27" t="str">
        <x:v>Nome/hash confirmados</x:v>
      </x:c>
      <x:c r="E11" s="27" t="str">
        <x:v>Confirmar arquivo físico e copiar</x:v>
      </x:c>
      <x:c r="F11" s="27" t="str">
        <x:v>CRÍTICA</x:v>
      </x:c>
      <x:c r="G11" s="27" t="str">
        <x:v>SHA CAT V9 conhecido.</x:v>
      </x:c>
    </x:row>
    <x:row r="12">
      <x:c r="A12" s="27" t="str">
        <x:v>11</x:v>
      </x:c>
      <x:c r="B12" s="27" t="str">
        <x:v>Wrapper CAT V9 holdout/produção</x:v>
      </x:c>
      <x:c r="C12" s="27" t="str">
        <x:v>Código execução</x:v>
      </x:c>
      <x:c r="D12" s="27" t="str">
        <x:v>Nome exato não localizado</x:v>
      </x:c>
      <x:c r="E12" s="27" t="str">
        <x:v>Localizar no diretório local e renomear/documentar sem alterar conteúdo</x:v>
      </x:c>
      <x:c r="F12" s="27" t="str">
        <x:v>ALTA</x:v>
      </x:c>
      <x:c r="G12" s="27" t="str">
        <x:v>Não inventar nome no depósito.</x:v>
      </x:c>
    </x:row>
    <x:row r="13">
      <x:c r="A13" s="27" t="str">
        <x:v>12</x:v>
      </x:c>
      <x:c r="B13" s="27" t="str">
        <x:v>color_conformity_v4.py</x:v>
      </x:c>
      <x:c r="C13" s="27" t="str">
        <x:v>Código produção</x:v>
      </x:c>
      <x:c r="D13" s="27" t="str">
        <x:v>Inventário localizado</x:v>
      </x:c>
      <x:c r="E13" s="27" t="str">
        <x:v>Confirmar que esta é a cópia efetivamente usada e calcular hash</x:v>
      </x:c>
      <x:c r="F13" s="27" t="str">
        <x:v>CRÍTICA</x:v>
      </x:c>
      <x:c r="G13" s="27" t="str">
        <x:v>Orquestrador cromático.</x:v>
      </x:c>
    </x:row>
    <x:row r="14">
      <x:c r="A14" s="27" t="str">
        <x:v>13</x:v>
      </x:c>
      <x:c r="B14" s="27" t="str">
        <x:v>validate_color_bars_core_v5.py</x:v>
      </x:c>
      <x:c r="C14" s="27" t="str">
        <x:v>Código produção</x:v>
      </x:c>
      <x:c r="D14" s="27" t="str">
        <x:v>Inventário localizado</x:v>
      </x:c>
      <x:c r="E14" s="27" t="str">
        <x:v>Copiar e calcular hash</x:v>
      </x:c>
      <x:c r="F14" s="27" t="str">
        <x:v>ALTA</x:v>
      </x:c>
      <x:c r="G14" s="27" t="str">
        <x:v>Módulo de barras.</x:v>
      </x:c>
    </x:row>
    <x:row r="15">
      <x:c r="A15" s="27" t="str">
        <x:v>14</x:v>
      </x:c>
      <x:c r="B15" s="27" t="str">
        <x:v>Script físico L-Cor V4</x:v>
      </x:c>
      <x:c r="C15" s="27" t="str">
        <x:v>Código produção</x:v>
      </x:c>
      <x:c r="D15" s="27" t="str">
        <x:v>Nomenclatura inconsistente</x:v>
      </x:c>
      <x:c r="E15" s="27" t="str">
        <x:v>Identificar arquivo exato usado e padronizar o manifesto</x:v>
      </x:c>
      <x:c r="F15" s="27" t="str">
        <x:v>CRÍTICA</x:v>
      </x:c>
      <x:c r="G15" s="27" t="str">
        <x:v>Documentação diz L-Cor V4; inventário mostra validate_color_lines_v3.py.</x:v>
      </x:c>
    </x:row>
    <x:row r="16">
      <x:c r="A16" s="27" t="str">
        <x:v>15</x:v>
      </x:c>
      <x:c r="B16" s="27" t="str">
        <x:v>validate_color_scatter_v7_markercore_final.py</x:v>
      </x:c>
      <x:c r="C16" s="27" t="str">
        <x:v>Código produção</x:v>
      </x:c>
      <x:c r="D16" s="27" t="str">
        <x:v>Inventário localizado</x:v>
      </x:c>
      <x:c r="E16" s="27" t="str">
        <x:v>Copiar e calcular hash</x:v>
      </x:c>
      <x:c r="F16" s="27" t="str">
        <x:v>ALTA</x:v>
      </x:c>
      <x:c r="G16" s="27" t="str">
        <x:v>Módulo de dispersão.</x:v>
      </x:c>
    </x:row>
    <x:row r="17">
      <x:c r="A17" s="27" t="str">
        <x:v>16</x:v>
      </x:c>
      <x:c r="B17" s="27" t="str">
        <x:v>validate_color_scatter_holdout_v8.py</x:v>
      </x:c>
      <x:c r="C17" s="27" t="str">
        <x:v>Código holdout</x:v>
      </x:c>
      <x:c r="D17" s="27" t="str">
        <x:v>Inventário localizado</x:v>
      </x:c>
      <x:c r="E17" s="27" t="str">
        <x:v>Copiar e calcular hash</x:v>
      </x:c>
      <x:c r="F17" s="27" t="str">
        <x:v>MÉDIA</x:v>
      </x:c>
      <x:c r="G17" s="27" t="str">
        <x:v>Evidência de validação independente.</x:v>
      </x:c>
    </x:row>
    <x:row r="18">
      <x:c r="A18" s="27" t="str">
        <x:v>17</x:v>
      </x:c>
      <x:c r="B18" s="27" t="str">
        <x:v>color_postprocess_config_used.json</x:v>
      </x:c>
      <x:c r="C18" s="27" t="str">
        <x:v>Configuração</x:v>
      </x:c>
      <x:c r="D18" s="27" t="str">
        <x:v>Localizado</x:v>
      </x:c>
      <x:c r="E18" s="27" t="str">
        <x:v>Copiar sem alteração</x:v>
      </x:c>
      <x:c r="F18" s="27" t="str">
        <x:v>CRÍTICA</x:v>
      </x:c>
      <x:c r="G18" s="27" t="str">
        <x:v>Contém ΔE00≤2 e regras finais.</x:v>
      </x:c>
    </x:row>
    <x:row r="19">
      <x:c r="A19" s="27" t="str">
        <x:v>18</x:v>
      </x:c>
      <x:c r="B19" s="27" t="str">
        <x:v>chart_type_exclusive_holdout_v2.py</x:v>
      </x:c>
      <x:c r="C19" s="27" t="str">
        <x:v>Código holdout</x:v>
      </x:c>
      <x:c r="D19" s="27" t="str">
        <x:v>Localizado no pacote de técnica</x:v>
      </x:c>
      <x:c r="E19" s="27" t="str">
        <x:v>Copiar e calcular hash</x:v>
      </x:c>
      <x:c r="F19" s="27" t="str">
        <x:v>ALTA</x:v>
      </x:c>
      <x:c r="G19" s="27" t="str">
        <x:v>Validação independente da classificação exclusiva.</x:v>
      </x:c>
    </x:row>
    <x:row r="20">
      <x:c r="A20" s="27" t="str">
        <x:v>19</x:v>
      </x:c>
      <x:c r="B20" s="27" t="str">
        <x:v>chart_type_exclusive_production_v2_frozen.py</x:v>
      </x:c>
      <x:c r="C20" s="27" t="str">
        <x:v>Código produção</x:v>
      </x:c>
      <x:c r="D20" s="27" t="str">
        <x:v>Nome/documentação confirmados</x:v>
      </x:c>
      <x:c r="E20" s="27" t="str">
        <x:v>Confirmar arquivo físico e calcular SHA-256 do script</x:v>
      </x:c>
      <x:c r="F20" s="27" t="str">
        <x:v>CRÍTICA</x:v>
      </x:c>
      <x:c r="G20" s="27" t="str">
        <x:v>Manifesto já registra parâmetros e SHA da dependência V3.</x:v>
      </x:c>
    </x:row>
    <x:row r="21">
      <x:c r="A21" s="27" t="str">
        <x:v>20</x:v>
      </x:c>
      <x:c r="B21" s="27" t="str">
        <x:v>Adjudicações manuais finais</x:v>
      </x:c>
      <x:c r="C21" s="27" t="str">
        <x:v>Dados de auditoria</x:v>
      </x:c>
      <x:c r="D21" s="27" t="str">
        <x:v>Diversos arquivos localizados</x:v>
      </x:c>
      <x:c r="E21" s="27" t="str">
        <x:v>Preservar planilhas/CSVs originais e finais</x:v>
      </x:c>
      <x:c r="F21" s="27" t="str">
        <x:v>CRÍTICA</x:v>
      </x:c>
      <x:c r="G21" s="27" t="str">
        <x:v>Resultados finais dependem de automação + auditoria cega.</x:v>
      </x:c>
    </x:row>
    <x:row r="22">
      <x:c r="A22" s="27" t="str">
        <x:v>21</x:v>
      </x:c>
      <x:c r="B22" s="27" t="str">
        <x:v>INTEGRACAO_CONFORMIDADE_VISUAL_MASTER_V4_FINAL.csv</x:v>
      </x:c>
      <x:c r="C22" s="27" t="str">
        <x:v>Master final</x:v>
      </x:c>
      <x:c r="D22" s="27" t="str">
        <x:v>Definido</x:v>
      </x:c>
      <x:c r="E22" s="27" t="str">
        <x:v>Copiar, calcular hash e marcar read-only no depósito</x:v>
      </x:c>
      <x:c r="F22" s="27" t="str">
        <x:v>CRÍTICA</x:v>
      </x:c>
      <x:c r="G22" s="27" t="str">
        <x:v>Resultado final por imagem.</x:v>
      </x:c>
    </x:row>
    <x:row r="23">
      <x:c r="A23" s="27" t="str">
        <x:v>22</x:v>
      </x:c>
      <x:c r="B23" s="27" t="str">
        <x:v>Todos *_MANIFEST.txt e *_summary.txt</x:v>
      </x:c>
      <x:c r="C23" s="27" t="str">
        <x:v>Rastreabilidade</x:v>
      </x:c>
      <x:c r="D23" s="27" t="str">
        <x:v>Parcialmente localizados</x:v>
      </x:c>
      <x:c r="E23" s="27" t="str">
        <x:v>Reunir em subpasta metadata/</x:v>
      </x:c>
      <x:c r="F23" s="27" t="str">
        <x:v>ALTA</x:v>
      </x:c>
      <x:c r="G23" s="27" t="str">
        <x:v>Preserva ambiente, hashes, sementes e contagens.</x:v>
      </x:c>
    </x:row>
    <x:row r="24">
      <x:c r="A24" s="27" t="str">
        <x:v>23</x:v>
      </x:c>
      <x:c r="B24" s="27" t="str">
        <x:v>requirements.txt ou ambiente .venv documentado</x:v>
      </x:c>
      <x:c r="C24" s="27" t="str">
        <x:v>Ambiente</x:v>
      </x:c>
      <x:c r="D24" s="27" t="str">
        <x:v>Não consolidado</x:v>
      </x:c>
      <x:c r="E24" s="27" t="str">
        <x:v>Gerar lista de versões Python/OpenCV/Pillow/pandas/numpy/pytesseract etc.</x:v>
      </x:c>
      <x:c r="F24" s="27" t="str">
        <x:v>ALTA</x:v>
      </x:c>
      <x:c r="G24" s="27" t="str">
        <x:v>Tesseract deve ser documentado separadamente.</x:v>
      </x:c>
    </x:row>
    <x:row r="25">
      <x:c r="A25" s="27" t="str">
        <x:v>24</x:v>
      </x:c>
      <x:c r="B25" s="27" t="str">
        <x:v>Tesseract 5.4.0.20240606 + idiomas por+eng</x:v>
      </x:c>
      <x:c r="C25" s="27" t="str">
        <x:v>Dependência externa</x:v>
      </x:c>
      <x:c r="D25" s="27" t="str">
        <x:v>Versão conhecida</x:v>
      </x:c>
      <x:c r="E25" s="27" t="str">
        <x:v>Registrar versão e instrução de instalação, sem redistribuir binários se não permitido</x:v>
      </x:c>
      <x:c r="F25" s="27" t="str">
        <x:v>ALTA</x:v>
      </x:c>
      <x:c r="G25" s="27" t="str">
        <x:v>Afeta OCR B-A.</x:v>
      </x:c>
    </x:row>
  </x:sheetData>
  <x:conditionalFormatting sqref="F2:F25">
    <x:cfRule type="expression" dxfId="3" priority="1">
      <x:formula>$F2="CRÍTICA"</x:formula>
    </x:cfRule>
    <x:cfRule type="expression" dxfId="4" priority="2">
      <x:formula>$F2="ALTA"</x:formula>
    </x:cfRule>
  </x:conditionalFormatting>
  <x:conditionalFormatting sqref="D2:D25">
    <x:cfRule type="expression" dxfId="5" priority="3">
      <x:formula>ISNUMBER(SEARCH("Não",D2))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c19081bddb4c8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>
      <x:c r="A1" s="22" t="str">
        <x:v>Termo</x:v>
      </x:c>
      <x:c r="B1" s="22" t="str">
        <x:v>Definição / regra congelada</x:v>
      </x:c>
    </x:row>
    <x:row r="2">
      <x:c r="A2" s="27" t="str">
        <x:v>F</x:v>
      </x:c>
      <x:c r="B2" s="27" t="str">
        <x:v>Especificação formal normativa da unidade. Fonte de verdade para conformidade.</x:v>
      </x:c>
    </x:row>
    <x:row r="3">
      <x:c r="A3" s="27" t="str">
        <x:v>B-A</x:v>
      </x:c>
      <x:c r="B3" s="27" t="str">
        <x:v>Extração/observação do que está visível na imagem. Não recebe valores/categorias esperados de F.</x:v>
      </x:c>
    </x:row>
    <x:row r="4">
      <x:c r="A4" s="27" t="str">
        <x:v>B-B</x:v>
      </x:c>
      <x:c r="B4" s="27" t="str">
        <x:v>Comparação do observado na B-A com F, aplicando normalizações pré-especificadas.</x:v>
      </x:c>
    </x:row>
    <x:row r="5">
      <x:c r="A5" s="27" t="str">
        <x:v>CONFORMING</x:v>
      </x:c>
      <x:c r="B5" s="27" t="str">
        <x:v>Todos os requisitos aplicáveis da dimensão foram satisfeitos.</x:v>
      </x:c>
    </x:row>
    <x:row r="6">
      <x:c r="A6" s="27" t="str">
        <x:v>NONCONFORMING</x:v>
      </x:c>
      <x:c r="B6" s="27" t="str">
        <x:v>Há pelo menos um requisito aplicável da dimensão que não foi satisfeito.</x:v>
      </x:c>
    </x:row>
    <x:row r="7">
      <x:c r="A7" s="27" t="str">
        <x:v>UNEVALUABLE</x:v>
      </x:c>
      <x:c r="B7" s="27" t="str">
        <x:v>Não há evidência suficiente para adjudicação segura; não é contado como NC.</x:v>
      </x:c>
    </x:row>
    <x:row r="8">
      <x:c r="A8" s="27" t="str">
        <x:v>NOT_APPLICABLE</x:v>
      </x:c>
      <x:c r="B8" s="27" t="str">
        <x:v>A dimensão/atributo não se aplica àquela imagem/unidade.</x:v>
      </x:c>
    </x:row>
    <x:row r="9">
      <x:c r="A9" s="27" t="str">
        <x:v>PENDING_*</x:v>
      </x:c>
      <x:c r="B9" s="27" t="str">
        <x:v>Caso ainda necessita adjudicação; não deve ser tratado como NC.</x:v>
      </x:c>
    </x:row>
    <x:row r="10">
      <x:c r="A10" s="27" t="str">
        <x:v>UNEVALUABLE_SPEC_CONFLICT</x:v>
      </x:c>
      <x:c r="B10" s="27" t="str">
        <x:v>A própria especificação contém conflito que impede julgamento seguro do atributo.</x:v>
      </x:c>
    </x:row>
    <x:row r="11">
      <x:c r="A11" s="27" t="str">
        <x:v>Regra global estrita</x:v>
      </x:c>
      <x:c r="B11" s="27" t="str">
        <x:v>Qualquer dimensão aplicável NONCONFORMING torna a imagem globalmente NONCONFORMING. Se não houver NC, pendências ou UNEVALUABLE são preservadas. Somente todas as dimensões aplicáveis conformes produzem CONFORMING.</x:v>
      </x:c>
    </x:row>
    <x:row r="12">
      <x:c r="A12" s="27" t="str">
        <x:v>Plot area</x:v>
      </x:c>
      <x:c r="B12" s="27" t="str">
        <x:v>Diagnóstico auxiliar. Não possui limiar normativo congelado e não entra na conformidade global.</x:v>
      </x:c>
    </x:row>
    <x:row r="13">
      <x:c r="A13" s="27" t="str">
        <x:v>Cor</x:v>
      </x:c>
      <x:c r="B13" s="27" t="str">
        <x:v>CIEDE2000 com limiar operacional ΔE00≤2 para equivalência cromática no pós-processamento final.</x:v>
      </x:c>
    </x:row>
    <x:row r="14">
      <x:c r="A14" s="27" t="str">
        <x:v>OCR</x:v>
      </x:c>
      <x:c r="B14" s="27" t="str">
        <x:v>Tesseract 5.4.0.20240606, idiomas por+eng.</x:v>
      </x:c>
    </x:row>
    <x:row r="15">
      <x:c r="A15" s="27" t="str">
        <x:v>F_i</x:v>
      </x:c>
      <x:c r="B15" s="27" t="str">
        <x:v>F_COMMON ⊕ F_CONDITION(i) ⊕ F_UNIT_PROMPT(i). O símbolo ⊕ indica composição, não soma aritmética.</x:v>
      </x:c>
    </x:row>
    <x:row r="16">
      <x:c r="A16" s="27" t="str">
        <x:v>Referência visual</x:v>
      </x:c>
      <x:c r="B16" s="27" t="str">
        <x:v>Imagem de referência é contexto experimental; não cria requisito normativo ausente de F.</x:v>
      </x:c>
    </x:row>
    <x:row r="17">
      <x:c r="A17" s="27" t="str">
        <x:v>NOT_SPECIFIED</x:v>
      </x:c>
      <x:c r="B17" s="27" t="str">
        <x:v>Ausência de base normativa para avaliar o atributo; não significa que o atributo deveria estar ausente.</x:v>
      </x:c>
    </x:row>
    <x:row r="18">
      <x:c r="A18" s="27" t="str">
        <x:v>Amostra</x:v>
      </x:c>
      <x:c r="B18" s="27" t="str">
        <x:v>312 unidades × 10 repetições = 3.120 imagens.</x:v>
      </x:c>
    </x:row>
    <x:row r="19">
      <x:c r="A19" s="27" t="str">
        <x:v>Perfis</x:v>
      </x:c>
      <x:c r="B19" s="27" t="str">
        <x:v>BI, BC, LI, LC, SI e SC = 3 técnicas × 2 tarefas.</x:v>
      </x:c>
    </x:row>
    <x:row r="20">
      <x:c r="A20" s="27" t="str">
        <x:v>Condições</x:v>
      </x:c>
      <x:c r="B20" s="27" t="str">
        <x:v>Zero-shot, Few-shot, VQL e Híbrida; 78 unidades por condição.</x:v>
      </x:c>
    </x:row>
  </x:sheetData>
  <x:pageMargins left="0.7" right="0.7" top="0.75" bottom="0.75" header="0.3" footer="0.3"/>
</x:worksheet>
</file>